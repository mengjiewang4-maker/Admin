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<sst xmlns="http://schemas.openxmlformats.org/spreadsheetml/2006/main" count="129" uniqueCount="41">
  <si>
    <t>“两重”项目国拨经费支出情况统计表</t>
  </si>
  <si>
    <t>序号</t>
  </si>
  <si>
    <t>所属
平台</t>
  </si>
  <si>
    <t>设备名称</t>
  </si>
  <si>
    <t>概算情况</t>
  </si>
  <si>
    <t>采购情况</t>
  </si>
  <si>
    <t>备注</t>
  </si>
  <si>
    <t>设备单价
（万）</t>
  </si>
  <si>
    <t>台/套数</t>
  </si>
  <si>
    <t>总价
（万）</t>
  </si>
  <si>
    <t>是否完成
意向公开</t>
  </si>
  <si>
    <t>是否完成
招标公布</t>
  </si>
  <si>
    <t>中标价
（万）</t>
  </si>
  <si>
    <t>是否完成采购合同签订</t>
  </si>
  <si>
    <t>已支付金额（万）</t>
  </si>
  <si>
    <t>LK</t>
  </si>
  <si>
    <t>光学主镜</t>
  </si>
  <si>
    <t>是</t>
  </si>
  <si>
    <t>国拨476万元；贷款357万元。于2025年支付，计划2026年全部支出</t>
  </si>
  <si>
    <t>主镜筒机电结构</t>
  </si>
  <si>
    <t>于2025年支付，计划2026年全部支出</t>
  </si>
  <si>
    <t>拼接基座及外框架</t>
  </si>
  <si>
    <t>钠原子探测激光雷达</t>
  </si>
  <si>
    <t>临空高精度激光泵浦电磁探测系统</t>
  </si>
  <si>
    <t>临近空间自由基分析仪</t>
  </si>
  <si>
    <t>多要素校准光源模块</t>
  </si>
  <si>
    <t>激光共聚焦成像系统</t>
  </si>
  <si>
    <t>临空探测雷达地面实验监测与控制系统</t>
  </si>
  <si>
    <t>于2026年支付，计划2026年全部支出</t>
  </si>
  <si>
    <t>“两重”项目自筹经费设备采购情况统计表</t>
  </si>
  <si>
    <t>所属平台
（脱密简写）</t>
  </si>
  <si>
    <t>合同价
（万）</t>
  </si>
  <si>
    <t>临近空间探测雷达六自由度控制系统</t>
  </si>
  <si>
    <t>临空大数据智能分析系统</t>
  </si>
  <si>
    <t>否</t>
  </si>
  <si>
    <t>高精度电磁探测信号处理系统</t>
  </si>
  <si>
    <t>臭氧探测激光雷达</t>
  </si>
  <si>
    <t>气象要素探测激光雷达系统</t>
  </si>
  <si>
    <t>小型自由空间探测模块</t>
  </si>
  <si>
    <t>光子回波计数及调控模块</t>
  </si>
  <si>
    <t>激光雷达光学镀膜系统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</si>
</sst>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SimSong Regular"/>
      <charset val="134"/>
    </font>
    <font>
      <b/>
      <sz val="12"/>
      <name val="SimSong Regular"/>
      <charset val="134"/>
    </font>
    <font>
      <sz val="12"/>
      <name val="SimSong Regular"/>
      <charset val="134"/>
    </font>
    <font>
      <sz val="12"/>
      <color theme="1"/>
      <name val="SimSong Regular"/>
      <charset val="134"/>
    </font>
    <font>
      <sz val="12"/>
      <color rgb="FFFF0000"/>
      <name val="SimSong Regular"/>
      <charset val="134"/>
    </font>
    <font>
      <sz val="16"/>
      <name val="方正小标宋简体"/>
      <charset val="134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="87" zoomScaleNormal="87" topLeftCell="A3" workbookViewId="0">
      <selection activeCell="A14" sqref="A14:L25"/>
    </sheetView>
  </sheetViews>
  <sheetFormatPr defaultColWidth="9.23076923076923" defaultRowHeight="16.8"/>
  <cols>
    <col min="1" max="1" width="18.0192307692308" customWidth="1"/>
    <col min="3" max="3" width="28.7596153846154" customWidth="1"/>
    <col min="12" max="12" width="53.4134615384615" customWidth="1"/>
  </cols>
  <sheetData>
    <row r="1" ht="23.2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6" spans="1:12">
      <c r="A2" s="2" t="s">
        <v>1</v>
      </c>
      <c r="B2" s="3" t="s">
        <v>2</v>
      </c>
      <c r="C2" s="2" t="s">
        <v>3</v>
      </c>
      <c r="D2" s="2" t="s">
        <v>4</v>
      </c>
      <c r="E2" s="2"/>
      <c r="F2" s="2"/>
      <c r="G2" s="2" t="s">
        <v>5</v>
      </c>
      <c r="H2" s="2"/>
      <c r="I2" s="2"/>
      <c r="J2" s="2"/>
      <c r="K2" s="2"/>
      <c r="L2" s="4" t="s">
        <v>6</v>
      </c>
    </row>
    <row r="3" ht="71" spans="1:12">
      <c r="A3" s="2"/>
      <c r="B3" s="2"/>
      <c r="C3" s="2"/>
      <c r="D3" s="3" t="s">
        <v>7</v>
      </c>
      <c r="E3" s="2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5"/>
    </row>
    <row r="4" ht="36" spans="1:12">
      <c r="A4" s="6">
        <v>1</v>
      </c>
      <c r="B4" s="6" t="s">
        <v>15</v>
      </c>
      <c r="C4" s="7" t="s">
        <v>16</v>
      </c>
      <c r="D4" s="8">
        <v>208.25</v>
      </c>
      <c r="E4" s="9">
        <v>4</v>
      </c>
      <c r="F4" s="10">
        <f t="shared" ref="F4:F12" si="0">D4*E4</f>
        <v>833</v>
      </c>
      <c r="G4" s="6" t="s">
        <v>17</v>
      </c>
      <c r="H4" s="6" t="s">
        <v>17</v>
      </c>
      <c r="I4" s="10">
        <v>833</v>
      </c>
      <c r="J4" s="11" t="s">
        <v>17</v>
      </c>
      <c r="K4" s="10">
        <v>406.55</v>
      </c>
      <c r="L4" s="12" t="s">
        <v>18</v>
      </c>
    </row>
    <row r="5" ht="18" spans="1:12">
      <c r="A5" s="6">
        <v>2</v>
      </c>
      <c r="B5" s="6" t="s">
        <v>15</v>
      </c>
      <c r="C5" s="7" t="s">
        <v>19</v>
      </c>
      <c r="D5" s="8">
        <v>327.25</v>
      </c>
      <c r="E5" s="9">
        <v>1</v>
      </c>
      <c r="F5" s="10">
        <f t="shared" si="0"/>
        <v>327.25</v>
      </c>
      <c r="G5" s="6" t="s">
        <v>17</v>
      </c>
      <c r="H5" s="6" t="s">
        <v>17</v>
      </c>
      <c r="I5" s="10">
        <v>327.25</v>
      </c>
      <c r="J5" s="11" t="s">
        <v>17</v>
      </c>
      <c r="K5" s="10">
        <v>59.29</v>
      </c>
      <c r="L5" s="12" t="s">
        <v>20</v>
      </c>
    </row>
    <row r="6" ht="18" spans="1:12">
      <c r="A6" s="6">
        <v>3</v>
      </c>
      <c r="B6" s="6" t="s">
        <v>15</v>
      </c>
      <c r="C6" s="7" t="s">
        <v>21</v>
      </c>
      <c r="D6" s="8">
        <v>29.75</v>
      </c>
      <c r="E6" s="9">
        <v>1</v>
      </c>
      <c r="F6" s="10">
        <f t="shared" si="0"/>
        <v>29.75</v>
      </c>
      <c r="G6" s="6" t="s">
        <v>17</v>
      </c>
      <c r="H6" s="6" t="s">
        <v>17</v>
      </c>
      <c r="I6" s="10">
        <v>29.75</v>
      </c>
      <c r="J6" s="11" t="s">
        <v>17</v>
      </c>
      <c r="K6" s="10">
        <v>10.16</v>
      </c>
      <c r="L6" s="12" t="s">
        <v>20</v>
      </c>
    </row>
    <row r="7" ht="18" spans="1:12">
      <c r="A7" s="6">
        <v>4</v>
      </c>
      <c r="B7" s="6" t="s">
        <v>15</v>
      </c>
      <c r="C7" s="7" t="s">
        <v>22</v>
      </c>
      <c r="D7" s="8">
        <v>780</v>
      </c>
      <c r="E7" s="9">
        <v>1</v>
      </c>
      <c r="F7" s="10">
        <f t="shared" si="0"/>
        <v>780</v>
      </c>
      <c r="G7" s="6" t="s">
        <v>17</v>
      </c>
      <c r="H7" s="6" t="s">
        <v>17</v>
      </c>
      <c r="I7" s="10">
        <v>780</v>
      </c>
      <c r="J7" s="11" t="s">
        <v>17</v>
      </c>
      <c r="K7" s="10">
        <v>312</v>
      </c>
      <c r="L7" s="12" t="s">
        <v>20</v>
      </c>
    </row>
    <row r="8" ht="36" spans="1:12">
      <c r="A8" s="6">
        <v>5</v>
      </c>
      <c r="B8" s="6" t="s">
        <v>15</v>
      </c>
      <c r="C8" s="7" t="s">
        <v>23</v>
      </c>
      <c r="D8" s="8">
        <v>290</v>
      </c>
      <c r="E8" s="9">
        <v>1</v>
      </c>
      <c r="F8" s="10">
        <f t="shared" si="0"/>
        <v>290</v>
      </c>
      <c r="G8" s="6" t="s">
        <v>17</v>
      </c>
      <c r="H8" s="6" t="s">
        <v>17</v>
      </c>
      <c r="I8" s="10">
        <v>290</v>
      </c>
      <c r="J8" s="11" t="s">
        <v>17</v>
      </c>
      <c r="K8" s="10">
        <v>116</v>
      </c>
      <c r="L8" s="12" t="s">
        <v>20</v>
      </c>
    </row>
    <row r="9" ht="18" spans="1:12">
      <c r="A9" s="6">
        <v>6</v>
      </c>
      <c r="B9" s="6" t="s">
        <v>15</v>
      </c>
      <c r="C9" s="7" t="s">
        <v>24</v>
      </c>
      <c r="D9" s="8">
        <v>229.8</v>
      </c>
      <c r="E9" s="9">
        <v>1</v>
      </c>
      <c r="F9" s="10">
        <f t="shared" si="0"/>
        <v>229.8</v>
      </c>
      <c r="G9" s="6" t="s">
        <v>17</v>
      </c>
      <c r="H9" s="6" t="s">
        <v>17</v>
      </c>
      <c r="I9" s="10">
        <v>229.8</v>
      </c>
      <c r="J9" s="11" t="s">
        <v>17</v>
      </c>
      <c r="K9" s="10">
        <v>229.8</v>
      </c>
      <c r="L9" s="12" t="s">
        <v>20</v>
      </c>
    </row>
    <row r="10" ht="18" spans="1:12">
      <c r="A10" s="6">
        <v>7</v>
      </c>
      <c r="B10" s="6" t="s">
        <v>15</v>
      </c>
      <c r="C10" s="7" t="s">
        <v>25</v>
      </c>
      <c r="D10" s="8">
        <v>159.8</v>
      </c>
      <c r="E10" s="9">
        <v>1</v>
      </c>
      <c r="F10" s="10">
        <f t="shared" si="0"/>
        <v>159.8</v>
      </c>
      <c r="G10" s="6" t="s">
        <v>17</v>
      </c>
      <c r="H10" s="6" t="s">
        <v>17</v>
      </c>
      <c r="I10" s="10">
        <v>159.8</v>
      </c>
      <c r="J10" s="11" t="s">
        <v>17</v>
      </c>
      <c r="K10" s="10">
        <v>159.8</v>
      </c>
      <c r="L10" s="12" t="s">
        <v>20</v>
      </c>
    </row>
    <row r="11" ht="18" spans="1:12">
      <c r="A11" s="6">
        <v>8</v>
      </c>
      <c r="B11" s="6" t="s">
        <v>15</v>
      </c>
      <c r="C11" s="7" t="s">
        <v>26</v>
      </c>
      <c r="D11" s="8">
        <v>127.57</v>
      </c>
      <c r="E11" s="9">
        <v>1</v>
      </c>
      <c r="F11" s="10">
        <f t="shared" si="0"/>
        <v>127.57</v>
      </c>
      <c r="G11" s="6" t="s">
        <v>17</v>
      </c>
      <c r="H11" s="6" t="s">
        <v>17</v>
      </c>
      <c r="I11" s="10">
        <v>127.57</v>
      </c>
      <c r="J11" s="11" t="s">
        <v>17</v>
      </c>
      <c r="K11" s="10">
        <v>127.57</v>
      </c>
      <c r="L11" s="12" t="s">
        <v>20</v>
      </c>
    </row>
    <row r="12" ht="36" spans="1:12">
      <c r="A12" s="6">
        <v>9</v>
      </c>
      <c r="B12" s="6" t="s">
        <v>15</v>
      </c>
      <c r="C12" s="7" t="s">
        <v>27</v>
      </c>
      <c r="D12" s="8">
        <v>99.5</v>
      </c>
      <c r="E12" s="9">
        <v>1</v>
      </c>
      <c r="F12" s="10">
        <f t="shared" si="0"/>
        <v>99.5</v>
      </c>
      <c r="G12" s="6" t="s">
        <v>17</v>
      </c>
      <c r="H12" s="6" t="s">
        <v>17</v>
      </c>
      <c r="I12" s="10">
        <v>99.5</v>
      </c>
      <c r="J12" s="11" t="s">
        <v>17</v>
      </c>
      <c r="K12" s="10">
        <v>39.8</v>
      </c>
      <c r="L12" s="12" t="s">
        <v>28</v>
      </c>
    </row>
    <row r="14" ht="23.2" spans="1:12">
      <c r="A14" s="13" t="s">
        <v>29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ht="17.6" spans="1:12">
      <c r="A15" s="14" t="s">
        <v>1</v>
      </c>
      <c r="B15" s="15" t="s">
        <v>30</v>
      </c>
      <c r="C15" s="14" t="s">
        <v>3</v>
      </c>
      <c r="D15" s="14" t="s">
        <v>4</v>
      </c>
      <c r="E15" s="14"/>
      <c r="F15" s="14"/>
      <c r="G15" s="14" t="s">
        <v>5</v>
      </c>
      <c r="H15" s="14"/>
      <c r="I15" s="14"/>
      <c r="J15" s="14"/>
      <c r="K15" s="14"/>
      <c r="L15" s="16" t="s">
        <v>6</v>
      </c>
    </row>
    <row r="16" ht="71" spans="1:12">
      <c r="A16" s="14"/>
      <c r="B16" s="14"/>
      <c r="C16" s="14"/>
      <c r="D16" s="15" t="s">
        <v>7</v>
      </c>
      <c r="E16" s="14" t="s">
        <v>8</v>
      </c>
      <c r="F16" s="15" t="s">
        <v>9</v>
      </c>
      <c r="G16" s="15" t="s">
        <v>10</v>
      </c>
      <c r="H16" s="15" t="s">
        <v>11</v>
      </c>
      <c r="I16" s="15" t="s">
        <v>12</v>
      </c>
      <c r="J16" s="15" t="s">
        <v>13</v>
      </c>
      <c r="K16" s="15" t="s">
        <v>31</v>
      </c>
      <c r="L16" s="17"/>
    </row>
    <row r="17" ht="17.6" spans="1:12">
      <c r="A17" s="18">
        <v>1</v>
      </c>
      <c r="B17" s="18" t="s">
        <v>15</v>
      </c>
      <c r="C17" s="19" t="s">
        <v>16</v>
      </c>
      <c r="D17" s="18">
        <v>208.25</v>
      </c>
      <c r="E17" s="18">
        <v>4</v>
      </c>
      <c r="F17" s="20">
        <v>833</v>
      </c>
      <c r="G17" s="20" t="s">
        <v>17</v>
      </c>
      <c r="H17" s="20" t="s">
        <v>17</v>
      </c>
      <c r="I17" s="20">
        <v>833</v>
      </c>
      <c r="J17" s="20" t="s">
        <v>17</v>
      </c>
      <c r="K17" s="20">
        <v>833</v>
      </c>
      <c r="L17" s="18"/>
    </row>
    <row r="18" ht="17.6" spans="1:12">
      <c r="A18" s="18">
        <v>2</v>
      </c>
      <c r="B18" s="18" t="s">
        <v>15</v>
      </c>
      <c r="C18" s="19" t="s">
        <v>32</v>
      </c>
      <c r="D18" s="18">
        <v>160</v>
      </c>
      <c r="E18" s="18">
        <v>1</v>
      </c>
      <c r="F18" s="18">
        <v>160</v>
      </c>
      <c r="G18" s="20" t="s">
        <v>17</v>
      </c>
      <c r="H18" s="20" t="s">
        <v>17</v>
      </c>
      <c r="I18" s="18"/>
      <c r="J18" s="20" t="s">
        <v>17</v>
      </c>
      <c r="K18" s="18"/>
      <c r="L18" s="18"/>
    </row>
    <row r="19" ht="17.6" spans="1:12">
      <c r="A19" s="18">
        <v>3</v>
      </c>
      <c r="B19" s="18" t="s">
        <v>15</v>
      </c>
      <c r="C19" s="19" t="s">
        <v>33</v>
      </c>
      <c r="D19" s="18">
        <v>240</v>
      </c>
      <c r="E19" s="18">
        <v>1</v>
      </c>
      <c r="F19" s="18">
        <v>240</v>
      </c>
      <c r="G19" s="20" t="s">
        <v>17</v>
      </c>
      <c r="H19" s="20" t="s">
        <v>34</v>
      </c>
      <c r="I19" s="18"/>
      <c r="J19" s="20" t="s">
        <v>34</v>
      </c>
      <c r="K19" s="18"/>
      <c r="L19" s="18"/>
    </row>
    <row r="20" ht="17.6" spans="1:12">
      <c r="A20" s="18">
        <v>4</v>
      </c>
      <c r="B20" s="18" t="s">
        <v>15</v>
      </c>
      <c r="C20" s="19" t="s">
        <v>35</v>
      </c>
      <c r="D20" s="21">
        <v>128</v>
      </c>
      <c r="E20" s="18">
        <v>1</v>
      </c>
      <c r="F20" s="22">
        <v>128</v>
      </c>
      <c r="G20" s="20" t="s">
        <v>17</v>
      </c>
      <c r="H20" s="20" t="s">
        <v>17</v>
      </c>
      <c r="I20" s="18">
        <v>127</v>
      </c>
      <c r="J20" s="20" t="s">
        <v>17</v>
      </c>
      <c r="K20" s="18">
        <v>127</v>
      </c>
      <c r="L20" s="18"/>
    </row>
    <row r="21" ht="17.6" spans="1:12">
      <c r="A21" s="18">
        <v>5</v>
      </c>
      <c r="B21" s="18" t="s">
        <v>15</v>
      </c>
      <c r="C21" s="19" t="s">
        <v>36</v>
      </c>
      <c r="D21" s="18">
        <v>540</v>
      </c>
      <c r="E21" s="18">
        <v>1</v>
      </c>
      <c r="F21" s="18">
        <v>540</v>
      </c>
      <c r="G21" s="20" t="s">
        <v>17</v>
      </c>
      <c r="H21" s="20" t="s">
        <v>17</v>
      </c>
      <c r="I21" s="18">
        <v>540</v>
      </c>
      <c r="J21" s="20" t="s">
        <v>17</v>
      </c>
      <c r="K21" s="18">
        <v>540</v>
      </c>
      <c r="L21" s="18"/>
    </row>
    <row r="22" ht="17.6" spans="1:12">
      <c r="A22" s="18">
        <v>6</v>
      </c>
      <c r="B22" s="18" t="s">
        <v>15</v>
      </c>
      <c r="C22" s="19" t="s">
        <v>37</v>
      </c>
      <c r="D22" s="18">
        <v>720</v>
      </c>
      <c r="E22" s="18">
        <v>1</v>
      </c>
      <c r="F22" s="18">
        <v>720</v>
      </c>
      <c r="G22" s="20" t="s">
        <v>17</v>
      </c>
      <c r="H22" s="20" t="s">
        <v>17</v>
      </c>
      <c r="I22" s="18">
        <v>720</v>
      </c>
      <c r="J22" s="20" t="s">
        <v>17</v>
      </c>
      <c r="K22" s="18">
        <v>720</v>
      </c>
      <c r="L22" s="18"/>
    </row>
    <row r="23" ht="17.6" spans="1:12">
      <c r="A23" s="18">
        <v>7</v>
      </c>
      <c r="B23" s="18" t="s">
        <v>15</v>
      </c>
      <c r="C23" s="19" t="s">
        <v>38</v>
      </c>
      <c r="D23" s="18">
        <v>52</v>
      </c>
      <c r="E23" s="18">
        <v>1</v>
      </c>
      <c r="F23" s="18">
        <v>52</v>
      </c>
      <c r="G23" s="20" t="s">
        <v>17</v>
      </c>
      <c r="H23" s="20" t="s">
        <v>34</v>
      </c>
      <c r="I23" s="18"/>
      <c r="J23" s="20" t="s">
        <v>34</v>
      </c>
      <c r="K23" s="18"/>
      <c r="L23" s="18"/>
    </row>
    <row r="24" ht="17.6" spans="1:12">
      <c r="A24" s="18">
        <v>8</v>
      </c>
      <c r="B24" s="18" t="s">
        <v>15</v>
      </c>
      <c r="C24" s="19" t="s">
        <v>39</v>
      </c>
      <c r="D24" s="18">
        <v>108</v>
      </c>
      <c r="E24" s="18">
        <v>1</v>
      </c>
      <c r="F24" s="18">
        <v>108</v>
      </c>
      <c r="G24" s="20" t="s">
        <v>17</v>
      </c>
      <c r="H24" s="20" t="s">
        <v>34</v>
      </c>
      <c r="I24" s="18"/>
      <c r="J24" s="20" t="s">
        <v>34</v>
      </c>
      <c r="K24" s="18"/>
      <c r="L24" s="18"/>
    </row>
    <row r="25" ht="17.6" spans="1:12">
      <c r="A25" s="18">
        <v>9</v>
      </c>
      <c r="B25" s="18" t="s">
        <v>15</v>
      </c>
      <c r="C25" s="19" t="s">
        <v>40</v>
      </c>
      <c r="D25" s="18">
        <v>202</v>
      </c>
      <c r="E25" s="18">
        <v>1</v>
      </c>
      <c r="F25" s="18">
        <v>202</v>
      </c>
      <c r="G25" s="20" t="s">
        <v>17</v>
      </c>
      <c r="H25" s="20" t="s">
        <v>34</v>
      </c>
      <c r="I25" s="18"/>
      <c r="J25" s="20" t="s">
        <v>34</v>
      </c>
      <c r="K25" s="18"/>
      <c r="L25" s="18"/>
    </row>
  </sheetData>
  <mergeCells count="14">
    <mergeCell ref="A1:L1"/>
    <mergeCell ref="D2:F2"/>
    <mergeCell ref="G2:K2"/>
    <mergeCell ref="A14:L14"/>
    <mergeCell ref="D15:F15"/>
    <mergeCell ref="G15:K15"/>
    <mergeCell ref="A2:A3"/>
    <mergeCell ref="A15:A16"/>
    <mergeCell ref="B2:B3"/>
    <mergeCell ref="B15:B16"/>
    <mergeCell ref="C2:C3"/>
    <mergeCell ref="C15:C16"/>
    <mergeCell ref="L2:L3"/>
    <mergeCell ref="L15:L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Jessie</cp:lastModifiedBy>
  <dcterms:created xsi:type="dcterms:W3CDTF">2026-09-10T12:16:02Z</dcterms:created>
  <dcterms:modified xsi:type="dcterms:W3CDTF">2026-09-10T12:17:44Z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4F50AD4D757B226A022FA26AAFB6E1D1_41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