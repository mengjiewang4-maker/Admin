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<sst xmlns="http://schemas.openxmlformats.org/spreadsheetml/2006/main" count="127" uniqueCount="50">
  <si>
    <t>“两重”项目经费支出情况统计</t>
  </si>
  <si>
    <t>单位：万元</t>
  </si>
  <si>
    <t>序号</t>
  </si>
  <si>
    <t>所属
平台</t>
  </si>
  <si>
    <t>设备/事项名称</t>
  </si>
  <si>
    <t>概算情况</t>
  </si>
  <si>
    <t>采购情况</t>
  </si>
  <si>
    <t>已支出金额</t>
  </si>
  <si>
    <t>备注</t>
  </si>
  <si>
    <t>设备单价</t>
  </si>
  <si>
    <t>台/套数</t>
  </si>
  <si>
    <t>总价</t>
  </si>
  <si>
    <t>是否完成
意向公开</t>
  </si>
  <si>
    <t>是否完成
招标公布</t>
  </si>
  <si>
    <t>中标价</t>
  </si>
  <si>
    <t>是否完成采购合同签订</t>
  </si>
  <si>
    <t>国拨</t>
  </si>
  <si>
    <t>自筹</t>
  </si>
  <si>
    <t>计划支出金额</t>
  </si>
  <si>
    <t>支出年份</t>
  </si>
  <si>
    <t>已支出
金额</t>
  </si>
  <si>
    <t>LK</t>
  </si>
  <si>
    <t>光学主镜</t>
  </si>
  <si>
    <t>是</t>
  </si>
  <si>
    <t>国拨476万元；自筹357万元。国拨已支付406.55万元，计划2026年完成剩余款项支付</t>
  </si>
  <si>
    <t>主镜筒机电结构</t>
  </si>
  <si>
    <t>国拨支付，计划2026年完成剩余款项支付</t>
  </si>
  <si>
    <t>拼接基座及外框架</t>
  </si>
  <si>
    <t>钠原子探测激光雷达</t>
  </si>
  <si>
    <t>临空高精度激光泵浦电磁探测系统</t>
  </si>
  <si>
    <t>临近空间自由基分析仪</t>
  </si>
  <si>
    <t>国拨已完成支付</t>
  </si>
  <si>
    <t>多要素校准光源模块</t>
  </si>
  <si>
    <t>激光共聚焦成像系统</t>
  </si>
  <si>
    <t>临空探测雷达地面实验监测与控制系统</t>
  </si>
  <si>
    <t>国拨于2026年支付39.8万元，计划2026年完成剩余款项支付</t>
  </si>
  <si>
    <t>临近空间探测雷达六自由度控制系统</t>
  </si>
  <si>
    <t>计划使用自筹经费支付；</t>
  </si>
  <si>
    <t>临空大数据智能分析系统</t>
  </si>
  <si>
    <t>否</t>
  </si>
  <si>
    <t>计划使用自筹经费支付，尚未完成招标公布和合同签订</t>
  </si>
  <si>
    <t>高精度电磁探测信号处理系统</t>
  </si>
  <si>
    <t>概算128万元，中标/合同价127万元；计划使用自筹经费支付</t>
  </si>
  <si>
    <t>臭氧探测激光雷达</t>
  </si>
  <si>
    <t>计划使用自筹经费支付</t>
  </si>
  <si>
    <t>气象要素探测激光雷达系统</t>
  </si>
  <si>
    <t>小型自由空间探测模块</t>
  </si>
  <si>
    <t>光子回波计数及调控模块</t>
  </si>
  <si>
    <t>激光雷达光学镀膜系统</t>
  </si>
  <si>
    <t>批复总经费5100万元，国拨2550万元，已支出1460.97万元；自筹2550万元，已支出0万元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</si>
</sst>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</font>
    <font>
      <sz val="11"/>
      <color theme="1"/>
      <name val="宋体"/>
      <charset val="134"/>
    </font>
    <font>
      <b/>
      <sz val="16"/>
      <name val="黑体"/>
      <charset val="134"/>
    </font>
    <font>
      <b/>
      <sz val="10"/>
      <name val="黑体"/>
      <charset val="134"/>
    </font>
    <font>
      <b/>
      <sz val="12"/>
      <name val="等线"/>
      <charset val="134"/>
    </font>
    <font>
      <sz val="12"/>
      <name val="等线"/>
      <charset val="134"/>
    </font>
    <font>
      <sz val="12"/>
      <color rgb="FF000000"/>
      <name val="宋体"/>
      <charset val="134"/>
    </font>
    <font>
      <sz val="12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theme="1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9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</cellStyleXfs>
  <cellXfs count="34"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51" applyFont="1" applyBorder="1" applyAlignment="1">
      <alignment horizontal="center" vertical="center" wrapText="1"/>
    </xf>
    <xf numFmtId="0" fontId="3" fillId="0" borderId="0" xfId="51" applyFont="1" applyBorder="1" applyAlignment="1">
      <alignment horizontal="center" vertical="center" wrapText="1"/>
    </xf>
    <xf numFmtId="0" fontId="4" fillId="0" borderId="1" xfId="51" applyFont="1" applyBorder="1" applyAlignment="1">
      <alignment horizontal="center" vertical="center" wrapText="1"/>
    </xf>
    <xf numFmtId="0" fontId="4" fillId="2" borderId="1" xfId="51" applyFont="1" applyFill="1" applyBorder="1" applyAlignment="1">
      <alignment horizontal="center" vertical="center" wrapText="1"/>
    </xf>
    <xf numFmtId="0" fontId="5" fillId="0" borderId="1" xfId="51" applyFont="1" applyBorder="1" applyAlignment="1">
      <alignment horizontal="center" vertical="center" wrapText="1"/>
    </xf>
    <xf numFmtId="0" fontId="4" fillId="0" borderId="2" xfId="51" applyFont="1" applyBorder="1" applyAlignment="1">
      <alignment horizontal="center" vertical="center" wrapText="1"/>
    </xf>
    <xf numFmtId="0" fontId="4" fillId="0" borderId="3" xfId="51" applyFont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2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2" fontId="6" fillId="0" borderId="4" xfId="0" applyNumberFormat="1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left" vertical="center" wrapText="1"/>
    </xf>
    <xf numFmtId="0" fontId="6" fillId="3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2" fontId="6" fillId="3" borderId="5" xfId="0" applyNumberFormat="1" applyFont="1" applyFill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horizontal="center" vertical="center" wrapText="1"/>
    </xf>
    <xf numFmtId="2" fontId="6" fillId="3" borderId="4" xfId="0" applyNumberFormat="1" applyFont="1" applyFill="1" applyBorder="1" applyAlignment="1">
      <alignment horizontal="center" vertical="center" wrapText="1"/>
    </xf>
    <xf numFmtId="0" fontId="7" fillId="4" borderId="6" xfId="0" applyNumberFormat="1" applyFont="1" applyFill="1" applyBorder="1" applyAlignment="1">
      <alignment horizontal="center" vertical="center" wrapText="1"/>
    </xf>
    <xf numFmtId="0" fontId="7" fillId="4" borderId="6" xfId="0" applyNumberFormat="1" applyFont="1" applyFill="1" applyBorder="1" applyAlignment="1">
      <alignment horizontal="left" vertical="center" wrapText="1"/>
    </xf>
    <xf numFmtId="2" fontId="7" fillId="4" borderId="6" xfId="0" applyNumberFormat="1" applyFont="1" applyFill="1" applyBorder="1" applyAlignment="1">
      <alignment horizontal="center" vertical="center" wrapText="1"/>
    </xf>
    <xf numFmtId="0" fontId="8" fillId="4" borderId="6" xfId="0" applyNumberFormat="1" applyFont="1" applyFill="1" applyBorder="1" applyAlignment="1">
      <alignment horizontal="center" vertical="center" wrapText="1"/>
    </xf>
    <xf numFmtId="0" fontId="8" fillId="4" borderId="6" xfId="0" applyNumberFormat="1" applyFont="1" applyFill="1" applyBorder="1" applyAlignment="1">
      <alignment horizontal="left" vertical="center" wrapText="1"/>
    </xf>
    <xf numFmtId="2" fontId="8" fillId="4" borderId="6" xfId="0" applyNumberFormat="1" applyFont="1" applyFill="1" applyBorder="1" applyAlignment="1">
      <alignment horizontal="center" vertical="center" wrapText="1"/>
    </xf>
    <xf numFmtId="0" fontId="9" fillId="5" borderId="7" xfId="0" applyNumberFormat="1" applyFont="1" applyFill="1" applyBorder="1" applyAlignment="1">
      <alignment horizontal="center" vertical="center"/>
    </xf>
    <xf numFmtId="0" fontId="9" fillId="5" borderId="8" xfId="0" applyNumberFormat="1" applyFont="1" applyFill="1" applyBorder="1" applyAlignment="1">
      <alignment horizontal="center" vertical="center"/>
    </xf>
    <xf numFmtId="0" fontId="9" fillId="5" borderId="9" xfId="0" applyNumberFormat="1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topLeftCell="A5" workbookViewId="0">
      <selection activeCell="Q16" sqref="Q16"/>
    </sheetView>
  </sheetViews>
  <sheetFormatPr defaultColWidth="9" defaultRowHeight="16.8"/>
  <cols>
    <col min="1" max="1" width="3.16071428571429" customWidth="1"/>
    <col min="2" max="2" width="5.66071428571429" customWidth="1"/>
    <col min="3" max="3" width="30.8303571428571" customWidth="1"/>
    <col min="4" max="4" width="9.83035714285714" customWidth="1"/>
    <col min="7" max="7" width="9.08035714285714" customWidth="1"/>
    <col min="8" max="8" width="9.25" customWidth="1"/>
    <col min="10" max="10" width="9.16071428571429" customWidth="1"/>
    <col min="13" max="13" width="6.33035714285714" customWidth="1"/>
    <col min="16" max="16" width="5.66071428571429" customWidth="1"/>
    <col min="17" max="17" width="38.9553571428571" customWidth="1"/>
  </cols>
  <sheetData>
    <row r="1" ht="23.2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23.2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1</v>
      </c>
    </row>
    <row r="3" ht="15.5" customHeight="1" spans="1:17">
      <c r="A3" s="5" t="s">
        <v>2</v>
      </c>
      <c r="B3" s="5" t="s">
        <v>3</v>
      </c>
      <c r="C3" s="5" t="s">
        <v>4</v>
      </c>
      <c r="D3" s="5" t="s">
        <v>5</v>
      </c>
      <c r="E3" s="5"/>
      <c r="F3" s="5"/>
      <c r="G3" s="5" t="s">
        <v>6</v>
      </c>
      <c r="H3" s="5"/>
      <c r="I3" s="5"/>
      <c r="J3" s="5"/>
      <c r="K3" s="6" t="s">
        <v>7</v>
      </c>
      <c r="L3" s="6"/>
      <c r="M3" s="6"/>
      <c r="N3" s="6"/>
      <c r="O3" s="6"/>
      <c r="P3" s="6"/>
      <c r="Q3" s="7" t="s">
        <v>8</v>
      </c>
    </row>
    <row r="4" ht="17.6" spans="1:17">
      <c r="A4" s="5"/>
      <c r="B4" s="5"/>
      <c r="C4" s="5"/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6" t="s">
        <v>16</v>
      </c>
      <c r="L4" s="6"/>
      <c r="M4" s="6"/>
      <c r="N4" s="6" t="s">
        <v>17</v>
      </c>
      <c r="O4" s="6"/>
      <c r="P4" s="6"/>
      <c r="Q4" s="7"/>
    </row>
    <row r="5" ht="36.5" customHeight="1" spans="1:17">
      <c r="A5" s="5"/>
      <c r="B5" s="5"/>
      <c r="C5" s="5"/>
      <c r="D5" s="9"/>
      <c r="E5" s="9"/>
      <c r="F5" s="9"/>
      <c r="G5" s="9"/>
      <c r="H5" s="9"/>
      <c r="I5" s="9"/>
      <c r="J5" s="9"/>
      <c r="K5" s="6" t="s">
        <v>18</v>
      </c>
      <c r="L5" s="6" t="s">
        <v>7</v>
      </c>
      <c r="M5" s="6" t="s">
        <v>19</v>
      </c>
      <c r="N5" s="6" t="s">
        <v>18</v>
      </c>
      <c r="O5" s="6" t="s">
        <v>20</v>
      </c>
      <c r="P5" s="6" t="s">
        <v>19</v>
      </c>
      <c r="Q5" s="7"/>
    </row>
    <row r="6" s="2" customFormat="1" ht="53" spans="1:17">
      <c r="A6" s="10">
        <v>1</v>
      </c>
      <c r="B6" s="10" t="s">
        <v>21</v>
      </c>
      <c r="C6" s="11" t="s">
        <v>22</v>
      </c>
      <c r="D6" s="12">
        <v>208.25</v>
      </c>
      <c r="E6" s="12">
        <v>4</v>
      </c>
      <c r="F6" s="12">
        <f t="shared" ref="F6:F22" si="0">D6*E6</f>
        <v>833</v>
      </c>
      <c r="G6" s="13" t="s">
        <v>23</v>
      </c>
      <c r="H6" s="13" t="s">
        <v>23</v>
      </c>
      <c r="I6" s="12">
        <v>833</v>
      </c>
      <c r="J6" s="13" t="s">
        <v>23</v>
      </c>
      <c r="K6" s="12">
        <v>476</v>
      </c>
      <c r="L6" s="12">
        <v>406.55</v>
      </c>
      <c r="M6" s="14">
        <v>2025</v>
      </c>
      <c r="N6" s="15">
        <v>357</v>
      </c>
      <c r="O6" s="16">
        <v>0</v>
      </c>
      <c r="P6" s="17"/>
      <c r="Q6" s="18" t="s">
        <v>24</v>
      </c>
    </row>
    <row r="7" s="2" customFormat="1" ht="36" spans="1:17">
      <c r="A7" s="10">
        <v>2</v>
      </c>
      <c r="B7" s="10" t="s">
        <v>21</v>
      </c>
      <c r="C7" s="11" t="s">
        <v>25</v>
      </c>
      <c r="D7" s="12">
        <v>327.25</v>
      </c>
      <c r="E7" s="12">
        <v>1</v>
      </c>
      <c r="F7" s="12">
        <f t="shared" si="0"/>
        <v>327.25</v>
      </c>
      <c r="G7" s="13" t="s">
        <v>23</v>
      </c>
      <c r="H7" s="13" t="s">
        <v>23</v>
      </c>
      <c r="I7" s="12">
        <v>327.25</v>
      </c>
      <c r="J7" s="13" t="s">
        <v>23</v>
      </c>
      <c r="K7" s="12">
        <v>327.25</v>
      </c>
      <c r="L7" s="12">
        <v>59.29</v>
      </c>
      <c r="M7" s="14">
        <v>2025</v>
      </c>
      <c r="N7" s="15">
        <v>0</v>
      </c>
      <c r="O7" s="16">
        <v>0</v>
      </c>
      <c r="P7" s="17"/>
      <c r="Q7" s="18" t="s">
        <v>26</v>
      </c>
    </row>
    <row r="8" s="2" customFormat="1" ht="36" spans="1:17">
      <c r="A8" s="10">
        <v>3</v>
      </c>
      <c r="B8" s="10" t="s">
        <v>21</v>
      </c>
      <c r="C8" s="11" t="s">
        <v>27</v>
      </c>
      <c r="D8" s="12">
        <v>29.75</v>
      </c>
      <c r="E8" s="12">
        <v>1</v>
      </c>
      <c r="F8" s="12">
        <f t="shared" si="0"/>
        <v>29.75</v>
      </c>
      <c r="G8" s="13" t="s">
        <v>23</v>
      </c>
      <c r="H8" s="13" t="s">
        <v>23</v>
      </c>
      <c r="I8" s="12">
        <v>29.75</v>
      </c>
      <c r="J8" s="13" t="s">
        <v>23</v>
      </c>
      <c r="K8" s="12">
        <v>29.75</v>
      </c>
      <c r="L8" s="12">
        <v>10.16</v>
      </c>
      <c r="M8" s="14">
        <v>2025</v>
      </c>
      <c r="N8" s="15">
        <v>0</v>
      </c>
      <c r="O8" s="16">
        <v>0</v>
      </c>
      <c r="P8" s="17"/>
      <c r="Q8" s="18" t="s">
        <v>26</v>
      </c>
    </row>
    <row r="9" s="2" customFormat="1" ht="36" spans="1:17">
      <c r="A9" s="10">
        <v>4</v>
      </c>
      <c r="B9" s="10" t="s">
        <v>21</v>
      </c>
      <c r="C9" s="19" t="s">
        <v>28</v>
      </c>
      <c r="D9" s="20">
        <v>780</v>
      </c>
      <c r="E9" s="20">
        <v>1</v>
      </c>
      <c r="F9" s="20">
        <f t="shared" si="0"/>
        <v>780</v>
      </c>
      <c r="G9" s="10" t="s">
        <v>23</v>
      </c>
      <c r="H9" s="10" t="s">
        <v>23</v>
      </c>
      <c r="I9" s="20">
        <v>780</v>
      </c>
      <c r="J9" s="10" t="s">
        <v>23</v>
      </c>
      <c r="K9" s="20">
        <v>780</v>
      </c>
      <c r="L9" s="20">
        <v>312</v>
      </c>
      <c r="M9" s="10">
        <v>2025</v>
      </c>
      <c r="N9" s="20">
        <v>0</v>
      </c>
      <c r="O9" s="20">
        <v>0</v>
      </c>
      <c r="P9" s="10"/>
      <c r="Q9" s="19" t="s">
        <v>26</v>
      </c>
    </row>
    <row r="10" s="2" customFormat="1" ht="36" spans="1:17">
      <c r="A10" s="10">
        <v>5</v>
      </c>
      <c r="B10" s="10" t="s">
        <v>21</v>
      </c>
      <c r="C10" s="19" t="s">
        <v>29</v>
      </c>
      <c r="D10" s="20">
        <v>290</v>
      </c>
      <c r="E10" s="20">
        <v>1</v>
      </c>
      <c r="F10" s="20">
        <f t="shared" si="0"/>
        <v>290</v>
      </c>
      <c r="G10" s="10" t="s">
        <v>23</v>
      </c>
      <c r="H10" s="10" t="s">
        <v>23</v>
      </c>
      <c r="I10" s="20">
        <v>290</v>
      </c>
      <c r="J10" s="10" t="s">
        <v>23</v>
      </c>
      <c r="K10" s="20">
        <v>290</v>
      </c>
      <c r="L10" s="20">
        <v>116</v>
      </c>
      <c r="M10" s="21">
        <v>2025</v>
      </c>
      <c r="N10" s="22">
        <v>0</v>
      </c>
      <c r="O10" s="22">
        <v>0</v>
      </c>
      <c r="P10" s="21"/>
      <c r="Q10" s="19" t="s">
        <v>26</v>
      </c>
    </row>
    <row r="11" s="2" customFormat="1" ht="18" spans="1:17">
      <c r="A11" s="10">
        <v>6</v>
      </c>
      <c r="B11" s="10" t="s">
        <v>21</v>
      </c>
      <c r="C11" s="19" t="s">
        <v>30</v>
      </c>
      <c r="D11" s="20">
        <v>229.8</v>
      </c>
      <c r="E11" s="20">
        <v>1</v>
      </c>
      <c r="F11" s="20">
        <f t="shared" si="0"/>
        <v>229.8</v>
      </c>
      <c r="G11" s="10" t="s">
        <v>23</v>
      </c>
      <c r="H11" s="10" t="s">
        <v>23</v>
      </c>
      <c r="I11" s="20">
        <v>229.8</v>
      </c>
      <c r="J11" s="10" t="s">
        <v>23</v>
      </c>
      <c r="K11" s="20">
        <v>229.8</v>
      </c>
      <c r="L11" s="20">
        <v>229.8</v>
      </c>
      <c r="M11" s="10">
        <v>2025</v>
      </c>
      <c r="N11" s="20">
        <v>0</v>
      </c>
      <c r="O11" s="20">
        <v>0</v>
      </c>
      <c r="P11" s="23"/>
      <c r="Q11" s="19" t="s">
        <v>31</v>
      </c>
    </row>
    <row r="12" s="2" customFormat="1" ht="18" spans="1:17">
      <c r="A12" s="10">
        <v>7</v>
      </c>
      <c r="B12" s="10" t="s">
        <v>21</v>
      </c>
      <c r="C12" s="19" t="s">
        <v>32</v>
      </c>
      <c r="D12" s="20">
        <v>159.8</v>
      </c>
      <c r="E12" s="20">
        <v>1</v>
      </c>
      <c r="F12" s="20">
        <f t="shared" si="0"/>
        <v>159.8</v>
      </c>
      <c r="G12" s="10" t="s">
        <v>23</v>
      </c>
      <c r="H12" s="10" t="s">
        <v>23</v>
      </c>
      <c r="I12" s="20">
        <v>159.8</v>
      </c>
      <c r="J12" s="10" t="s">
        <v>23</v>
      </c>
      <c r="K12" s="20">
        <v>159.8</v>
      </c>
      <c r="L12" s="20">
        <v>159.8</v>
      </c>
      <c r="M12" s="23">
        <v>2025</v>
      </c>
      <c r="N12" s="20">
        <v>0</v>
      </c>
      <c r="O12" s="20">
        <v>0</v>
      </c>
      <c r="P12" s="23"/>
      <c r="Q12" s="19" t="s">
        <v>31</v>
      </c>
    </row>
    <row r="13" s="2" customFormat="1" ht="18" spans="1:17">
      <c r="A13" s="10">
        <v>8</v>
      </c>
      <c r="B13" s="10" t="s">
        <v>21</v>
      </c>
      <c r="C13" s="19" t="s">
        <v>33</v>
      </c>
      <c r="D13" s="20">
        <v>127.57</v>
      </c>
      <c r="E13" s="20">
        <v>1</v>
      </c>
      <c r="F13" s="20">
        <f t="shared" si="0"/>
        <v>127.57</v>
      </c>
      <c r="G13" s="10" t="s">
        <v>23</v>
      </c>
      <c r="H13" s="10" t="s">
        <v>23</v>
      </c>
      <c r="I13" s="20">
        <v>127.57</v>
      </c>
      <c r="J13" s="10" t="s">
        <v>23</v>
      </c>
      <c r="K13" s="20">
        <v>127.57</v>
      </c>
      <c r="L13" s="20">
        <v>127.57</v>
      </c>
      <c r="M13" s="23">
        <v>2025</v>
      </c>
      <c r="N13" s="20">
        <v>0</v>
      </c>
      <c r="O13" s="20">
        <v>0</v>
      </c>
      <c r="P13" s="23"/>
      <c r="Q13" s="19" t="s">
        <v>31</v>
      </c>
    </row>
    <row r="14" s="2" customFormat="1" ht="36" spans="1:17">
      <c r="A14" s="10">
        <v>9</v>
      </c>
      <c r="B14" s="10" t="s">
        <v>21</v>
      </c>
      <c r="C14" s="19" t="s">
        <v>34</v>
      </c>
      <c r="D14" s="20">
        <v>99.5</v>
      </c>
      <c r="E14" s="20">
        <v>1</v>
      </c>
      <c r="F14" s="20">
        <f t="shared" si="0"/>
        <v>99.5</v>
      </c>
      <c r="G14" s="10" t="s">
        <v>23</v>
      </c>
      <c r="H14" s="10" t="s">
        <v>23</v>
      </c>
      <c r="I14" s="20">
        <v>99.5</v>
      </c>
      <c r="J14" s="10" t="s">
        <v>23</v>
      </c>
      <c r="K14" s="20">
        <v>99.5</v>
      </c>
      <c r="L14" s="20">
        <v>39.8</v>
      </c>
      <c r="M14" s="23">
        <v>2026</v>
      </c>
      <c r="N14" s="24">
        <v>0</v>
      </c>
      <c r="O14" s="24">
        <v>0</v>
      </c>
      <c r="P14" s="23"/>
      <c r="Q14" s="19" t="s">
        <v>35</v>
      </c>
    </row>
    <row r="15" s="2" customFormat="1" ht="36" spans="1:17">
      <c r="A15" s="10">
        <v>10</v>
      </c>
      <c r="B15" s="10" t="s">
        <v>21</v>
      </c>
      <c r="C15" s="19" t="s">
        <v>36</v>
      </c>
      <c r="D15" s="20">
        <v>160</v>
      </c>
      <c r="E15" s="20">
        <v>1</v>
      </c>
      <c r="F15" s="20">
        <f t="shared" si="0"/>
        <v>160</v>
      </c>
      <c r="G15" s="10" t="s">
        <v>23</v>
      </c>
      <c r="H15" s="10" t="s">
        <v>23</v>
      </c>
      <c r="I15" s="20"/>
      <c r="J15" s="10" t="s">
        <v>23</v>
      </c>
      <c r="K15" s="20">
        <v>0</v>
      </c>
      <c r="L15" s="20">
        <v>0</v>
      </c>
      <c r="M15" s="10"/>
      <c r="N15" s="20">
        <v>160</v>
      </c>
      <c r="O15" s="20">
        <v>0</v>
      </c>
      <c r="P15" s="23"/>
      <c r="Q15" s="19" t="s">
        <v>37</v>
      </c>
    </row>
    <row r="16" s="2" customFormat="1" ht="36" spans="1:17">
      <c r="A16" s="10">
        <v>11</v>
      </c>
      <c r="B16" s="10" t="s">
        <v>21</v>
      </c>
      <c r="C16" s="19" t="s">
        <v>38</v>
      </c>
      <c r="D16" s="20">
        <v>240</v>
      </c>
      <c r="E16" s="20">
        <v>1</v>
      </c>
      <c r="F16" s="20">
        <f t="shared" si="0"/>
        <v>240</v>
      </c>
      <c r="G16" s="10" t="s">
        <v>23</v>
      </c>
      <c r="H16" s="10" t="s">
        <v>39</v>
      </c>
      <c r="I16" s="20"/>
      <c r="J16" s="10" t="s">
        <v>39</v>
      </c>
      <c r="K16" s="20">
        <v>0</v>
      </c>
      <c r="L16" s="20">
        <v>0</v>
      </c>
      <c r="M16" s="10"/>
      <c r="N16" s="20">
        <v>240</v>
      </c>
      <c r="O16" s="20">
        <v>0</v>
      </c>
      <c r="P16" s="10"/>
      <c r="Q16" s="19" t="s">
        <v>40</v>
      </c>
    </row>
    <row r="17" s="2" customFormat="1" ht="36" spans="1:17">
      <c r="A17" s="10">
        <v>12</v>
      </c>
      <c r="B17" s="10" t="s">
        <v>21</v>
      </c>
      <c r="C17" s="19" t="s">
        <v>41</v>
      </c>
      <c r="D17" s="20">
        <v>128</v>
      </c>
      <c r="E17" s="20">
        <v>1</v>
      </c>
      <c r="F17" s="20">
        <f t="shared" si="0"/>
        <v>128</v>
      </c>
      <c r="G17" s="10" t="s">
        <v>23</v>
      </c>
      <c r="H17" s="10" t="s">
        <v>23</v>
      </c>
      <c r="I17" s="20">
        <v>127</v>
      </c>
      <c r="J17" s="10" t="s">
        <v>23</v>
      </c>
      <c r="K17" s="20">
        <v>0</v>
      </c>
      <c r="L17" s="20">
        <v>0</v>
      </c>
      <c r="M17" s="10"/>
      <c r="N17" s="20">
        <v>127</v>
      </c>
      <c r="O17" s="20">
        <v>0</v>
      </c>
      <c r="P17" s="10"/>
      <c r="Q17" s="19" t="s">
        <v>42</v>
      </c>
    </row>
    <row r="18" s="2" customFormat="1" ht="18" spans="1:17">
      <c r="A18" s="10">
        <v>13</v>
      </c>
      <c r="B18" s="10" t="s">
        <v>21</v>
      </c>
      <c r="C18" s="19" t="s">
        <v>43</v>
      </c>
      <c r="D18" s="20">
        <v>540</v>
      </c>
      <c r="E18" s="20">
        <v>1</v>
      </c>
      <c r="F18" s="20">
        <f t="shared" si="0"/>
        <v>540</v>
      </c>
      <c r="G18" s="10" t="s">
        <v>23</v>
      </c>
      <c r="H18" s="10" t="s">
        <v>23</v>
      </c>
      <c r="I18" s="20">
        <v>540</v>
      </c>
      <c r="J18" s="10" t="s">
        <v>23</v>
      </c>
      <c r="K18" s="20">
        <v>0</v>
      </c>
      <c r="L18" s="20">
        <v>0</v>
      </c>
      <c r="M18" s="10"/>
      <c r="N18" s="20">
        <v>540</v>
      </c>
      <c r="O18" s="20">
        <v>0</v>
      </c>
      <c r="P18" s="10"/>
      <c r="Q18" s="19" t="s">
        <v>44</v>
      </c>
    </row>
    <row r="19" s="2" customFormat="1" ht="18" spans="1:17">
      <c r="A19" s="10">
        <v>14</v>
      </c>
      <c r="B19" s="10" t="s">
        <v>21</v>
      </c>
      <c r="C19" s="11" t="s">
        <v>45</v>
      </c>
      <c r="D19" s="12">
        <v>720</v>
      </c>
      <c r="E19" s="12">
        <v>1</v>
      </c>
      <c r="F19" s="12">
        <f t="shared" si="0"/>
        <v>720</v>
      </c>
      <c r="G19" s="13" t="s">
        <v>23</v>
      </c>
      <c r="H19" s="13" t="s">
        <v>23</v>
      </c>
      <c r="I19" s="12">
        <v>720</v>
      </c>
      <c r="J19" s="13" t="s">
        <v>23</v>
      </c>
      <c r="K19" s="12">
        <v>0</v>
      </c>
      <c r="L19" s="12">
        <v>0</v>
      </c>
      <c r="M19" s="14"/>
      <c r="N19" s="12">
        <v>720</v>
      </c>
      <c r="O19" s="12">
        <v>0</v>
      </c>
      <c r="P19" s="17"/>
      <c r="Q19" s="18" t="s">
        <v>44</v>
      </c>
    </row>
    <row r="20" s="2" customFormat="1" ht="36" spans="1:17">
      <c r="A20" s="10">
        <v>15</v>
      </c>
      <c r="B20" s="10" t="s">
        <v>21</v>
      </c>
      <c r="C20" s="19" t="s">
        <v>46</v>
      </c>
      <c r="D20" s="20">
        <v>52</v>
      </c>
      <c r="E20" s="20">
        <v>1</v>
      </c>
      <c r="F20" s="20">
        <f t="shared" si="0"/>
        <v>52</v>
      </c>
      <c r="G20" s="10" t="s">
        <v>23</v>
      </c>
      <c r="H20" s="10" t="s">
        <v>39</v>
      </c>
      <c r="I20" s="20"/>
      <c r="J20" s="10" t="s">
        <v>39</v>
      </c>
      <c r="K20" s="20">
        <v>0</v>
      </c>
      <c r="L20" s="20">
        <v>0</v>
      </c>
      <c r="M20" s="10"/>
      <c r="N20" s="20">
        <v>52</v>
      </c>
      <c r="O20" s="20">
        <v>0</v>
      </c>
      <c r="P20" s="10"/>
      <c r="Q20" s="19" t="s">
        <v>40</v>
      </c>
    </row>
    <row r="21" ht="36" spans="1:17">
      <c r="A21" s="25">
        <v>16</v>
      </c>
      <c r="B21" s="25" t="s">
        <v>21</v>
      </c>
      <c r="C21" s="26" t="s">
        <v>47</v>
      </c>
      <c r="D21" s="27">
        <v>108</v>
      </c>
      <c r="E21" s="27">
        <v>1</v>
      </c>
      <c r="F21" s="27">
        <f t="shared" si="0"/>
        <v>108</v>
      </c>
      <c r="G21" s="25" t="s">
        <v>23</v>
      </c>
      <c r="H21" s="25" t="s">
        <v>39</v>
      </c>
      <c r="I21" s="27"/>
      <c r="J21" s="25" t="s">
        <v>39</v>
      </c>
      <c r="K21" s="27">
        <v>0</v>
      </c>
      <c r="L21" s="27">
        <v>0</v>
      </c>
      <c r="M21" s="25"/>
      <c r="N21" s="27">
        <v>108</v>
      </c>
      <c r="O21" s="27">
        <v>0</v>
      </c>
      <c r="P21" s="25"/>
      <c r="Q21" s="26" t="s">
        <v>40</v>
      </c>
    </row>
    <row r="22" ht="34" spans="1:17">
      <c r="A22" s="28">
        <v>17</v>
      </c>
      <c r="B22" s="28" t="s">
        <v>21</v>
      </c>
      <c r="C22" s="29" t="s">
        <v>48</v>
      </c>
      <c r="D22" s="30">
        <v>202</v>
      </c>
      <c r="E22" s="30">
        <v>1</v>
      </c>
      <c r="F22" s="30">
        <f t="shared" si="0"/>
        <v>202</v>
      </c>
      <c r="G22" s="28" t="s">
        <v>23</v>
      </c>
      <c r="H22" s="28" t="s">
        <v>39</v>
      </c>
      <c r="I22" s="30"/>
      <c r="J22" s="28" t="s">
        <v>39</v>
      </c>
      <c r="K22" s="30">
        <v>0</v>
      </c>
      <c r="L22" s="30">
        <v>0</v>
      </c>
      <c r="M22" s="28"/>
      <c r="N22" s="30">
        <v>202</v>
      </c>
      <c r="O22" s="30">
        <v>0</v>
      </c>
      <c r="P22" s="28"/>
      <c r="Q22" s="29" t="s">
        <v>40</v>
      </c>
    </row>
    <row r="23" spans="1:17">
      <c r="A23" s="31" t="s">
        <v>49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3"/>
    </row>
  </sheetData>
  <mergeCells count="18">
    <mergeCell ref="A1:Q1"/>
    <mergeCell ref="D3:F3"/>
    <mergeCell ref="G3:J3"/>
    <mergeCell ref="K3:P3"/>
    <mergeCell ref="K4:M4"/>
    <mergeCell ref="N4:P4"/>
    <mergeCell ref="A23:Q23"/>
    <mergeCell ref="A3:A5"/>
    <mergeCell ref="B3:B5"/>
    <mergeCell ref="C3:C5"/>
    <mergeCell ref="D4:D5"/>
    <mergeCell ref="E4:E5"/>
    <mergeCell ref="F4:F5"/>
    <mergeCell ref="G4:G5"/>
    <mergeCell ref="H4:H5"/>
    <mergeCell ref="I4:I5"/>
    <mergeCell ref="J4:J5"/>
    <mergeCell ref="Q3:Q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Jessie</cp:lastModifiedBy>
  <dcterms:created xsi:type="dcterms:W3CDTF">2026-08-28T10:23:56Z</dcterms:created>
  <dcterms:modified xsi:type="dcterms:W3CDTF">2026-08-28T12:25:12Z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D2BA29BF32A754D7A80D916A4CB4FE02_42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