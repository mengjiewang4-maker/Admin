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380"/>
  </bookViews>
  <sheets>
    <sheet name="资金调整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<sst xmlns="http://schemas.openxmlformats.org/spreadsheetml/2006/main" count="112" uniqueCount="60">
  <si>
    <t>两重项目国拨自筹资金调整明细</t>
  </si>
  <si>
    <t>调整原则：望远镜2025年已支付的国拨保持不变；望远镜、激光雷达2026年剩余尾款全部改为自筹；其他设备全部改为国拨。单位：万元</t>
  </si>
  <si>
    <t>汇总项目</t>
  </si>
  <si>
    <t>金额</t>
  </si>
  <si>
    <t>批复额度核对</t>
  </si>
  <si>
    <t>调整后国拨合计</t>
  </si>
  <si>
    <t>国拨批复额度</t>
  </si>
  <si>
    <t>调整后自筹合计</t>
  </si>
  <si>
    <t>调整后国拨超过批复</t>
  </si>
  <si>
    <t>设备金额合计</t>
  </si>
  <si>
    <t>自筹批复额度</t>
  </si>
  <si>
    <t>与项目总投资5100万元的差额</t>
  </si>
  <si>
    <t>序号</t>
  </si>
  <si>
    <t>设备名称</t>
  </si>
  <si>
    <t>金额口径</t>
  </si>
  <si>
    <t>设备金额</t>
  </si>
  <si>
    <t>2025年国拨已付</t>
  </si>
  <si>
    <t>2026年已付</t>
  </si>
  <si>
    <t>2026年待付</t>
  </si>
  <si>
    <t>调整后国拨</t>
  </si>
  <si>
    <t>调整后自筹</t>
  </si>
  <si>
    <t>2026年付款来源</t>
  </si>
  <si>
    <t>是否调整</t>
  </si>
  <si>
    <t>备注</t>
  </si>
  <si>
    <t>光学主镜</t>
  </si>
  <si>
    <t>合同价</t>
  </si>
  <si>
    <t>自筹</t>
  </si>
  <si>
    <t>是</t>
  </si>
  <si>
    <t>望远镜组成部分；尾款全部改为自筹</t>
  </si>
  <si>
    <t>主镜筒机电结构</t>
  </si>
  <si>
    <t>拼接基座及外框架</t>
  </si>
  <si>
    <t>钠原子探测激光雷达</t>
  </si>
  <si>
    <t>尾款全部改为自筹</t>
  </si>
  <si>
    <t>临空高精度激光泵浦电磁探测系统</t>
  </si>
  <si>
    <t>国拨</t>
  </si>
  <si>
    <t>否</t>
  </si>
  <si>
    <t>2026年完成剩余款项支付</t>
  </si>
  <si>
    <t>临近空间自由基分析仪</t>
  </si>
  <si>
    <t>已完成</t>
  </si>
  <si>
    <t>国拨已完成支付</t>
  </si>
  <si>
    <t>多要素校准光源模块</t>
  </si>
  <si>
    <t>激光共聚焦成像系统</t>
  </si>
  <si>
    <t>临空探测雷达地面实验监测与控制系统</t>
  </si>
  <si>
    <t>2026年已付39.80，剩余59.70</t>
  </si>
  <si>
    <t>临近空间探测雷达六自由度控制系统</t>
  </si>
  <si>
    <t>概算价</t>
  </si>
  <si>
    <t>原计划自筹，现改为国拨；付款年份待确认</t>
  </si>
  <si>
    <t>临空大数据智能分析系统</t>
  </si>
  <si>
    <t>原计划自筹，现改为国拨；尚未签订合同</t>
  </si>
  <si>
    <t>高精度电磁探测信号处理系统</t>
  </si>
  <si>
    <t>2026年已以自筹支付50.80，拟改列国拨</t>
  </si>
  <si>
    <t>臭氧探测激光雷达</t>
  </si>
  <si>
    <t>2026年已以自筹支付216.00，尾款仍是自筹</t>
  </si>
  <si>
    <t>气象要素探测激光雷达系统</t>
  </si>
  <si>
    <t>2026年已以自筹支付288.00，尾款仍是自筹</t>
  </si>
  <si>
    <t>小型自由空间探测模块</t>
  </si>
  <si>
    <t>光子回波计数及调控模块</t>
  </si>
  <si>
    <t>激光雷达光学镀膜系统</t>
  </si>
  <si>
    <t>合计</t>
  </si>
  <si>
    <t>望远镜尾款714.00万元全部自筹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</si>
</sst>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000000"/>
      <name val="Carlito"/>
      <charset val="134"/>
    </font>
    <font>
      <b/>
      <sz val="11"/>
      <color rgb="FFFFFFFF"/>
      <name val="Carlito"/>
      <charset val="134"/>
    </font>
    <font>
      <b/>
      <sz val="11"/>
      <color rgb="FF9C0006"/>
      <name val="Carlito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0" fillId="0" borderId="0" xfId="49" applyBorder="1"/>
    <xf numFmtId="0" fontId="3" fillId="4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/>
    <xf numFmtId="2" fontId="0" fillId="0" borderId="1" xfId="49" applyNumberFormat="1" applyFont="1" applyFill="1" applyBorder="1"/>
    <xf numFmtId="0" fontId="4" fillId="0" borderId="0" xfId="49" applyNumberFormat="1" applyFont="1" applyFill="1" applyBorder="1" applyAlignment="1">
      <alignment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center" wrapText="1"/>
    </xf>
    <xf numFmtId="2" fontId="0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/>
    </xf>
    <xf numFmtId="2" fontId="5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0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undingAdjustmentTable" displayName="FundingAdjustmentTable" ref="A10:L27" totalsRowShown="0">
  <tableColumns count="12">
    <tableColumn id="1" name="序号" dataDxfId="0"/>
    <tableColumn id="2" name="设备名称" dataDxfId="1"/>
    <tableColumn id="3" name="金额口径" dataDxfId="2"/>
    <tableColumn id="4" name="设备金额" dataDxfId="3"/>
    <tableColumn id="5" name="2025年国拨已付" dataDxfId="4"/>
    <tableColumn id="6" name="2026年已付" dataDxfId="5"/>
    <tableColumn id="7" name="2026年待付" dataDxfId="6"/>
    <tableColumn id="8" name="调整后国拨" dataDxfId="7"/>
    <tableColumn id="9" name="调整后自筹" dataDxfId="8"/>
    <tableColumn id="10" name="2026年付款来源" dataDxfId="9"/>
    <tableColumn id="11" name="是否调整" dataDxfId="10"/>
    <tableColumn id="12" name="备注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M28"/>
  <sheetViews>
    <sheetView showGridLines="0" tabSelected="1" zoomScale="81" zoomScaleNormal="81" workbookViewId="0">
      <pane ySplit="10" topLeftCell="A11" activePane="bottomLeft" state="frozen"/>
      <selection/>
      <selection pane="bottomLeft" activeCell="M9" sqref="M9"/>
    </sheetView>
  </sheetViews>
  <sheetFormatPr defaultColWidth="9" defaultRowHeight="16.8"/>
  <cols>
    <col min="1" max="1" width="7" customWidth="1"/>
    <col min="2" max="2" width="31" customWidth="1"/>
    <col min="3" max="3" width="11" customWidth="1"/>
    <col min="4" max="4" width="12" customWidth="1"/>
    <col min="5" max="5" width="14" customWidth="1"/>
    <col min="6" max="7" width="12" customWidth="1"/>
    <col min="8" max="9" width="13" customWidth="1"/>
    <col min="10" max="10" width="16" customWidth="1"/>
    <col min="11" max="11" width="10" customWidth="1"/>
    <col min="12" max="12" width="34" customWidth="1"/>
  </cols>
  <sheetData>
    <row r="1" ht="32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G3" s="3"/>
      <c r="H3" s="3"/>
      <c r="I3" s="3"/>
      <c r="J3" s="3"/>
      <c r="K3" s="3"/>
      <c r="L3" s="3"/>
    </row>
    <row r="4" spans="1:13">
      <c r="A4" s="4" t="s">
        <v>2</v>
      </c>
      <c r="B4" s="4" t="s">
        <v>3</v>
      </c>
      <c r="D4" s="4" t="s">
        <v>4</v>
      </c>
      <c r="E4" s="4" t="s">
        <v>3</v>
      </c>
      <c r="G4" s="5"/>
      <c r="H4" s="5"/>
      <c r="I4" s="5"/>
      <c r="J4" s="5"/>
      <c r="K4" s="5"/>
      <c r="L4" s="5"/>
    </row>
    <row r="5" spans="1:13">
      <c r="A5" s="6" t="s">
        <v>5</v>
      </c>
      <c r="B5" s="7">
        <f>SUM(H11:H27)</f>
        <v>2583.67</v>
      </c>
      <c r="D5" s="6" t="s">
        <v>6</v>
      </c>
      <c r="E5" s="7">
        <v>2550</v>
      </c>
      <c r="G5" s="8"/>
      <c r="H5" s="8"/>
      <c r="I5" s="8"/>
      <c r="J5" s="8"/>
      <c r="K5" s="8"/>
      <c r="L5" s="8"/>
    </row>
    <row r="6" spans="1:13">
      <c r="A6" s="6" t="s">
        <v>7</v>
      </c>
      <c r="B6" s="7">
        <f>SUM(I11:I27)</f>
        <v>2442</v>
      </c>
      <c r="D6" s="6" t="s">
        <v>8</v>
      </c>
      <c r="E6" s="7">
        <f>B5-E5</f>
        <v>33.6700000000001</v>
      </c>
      <c r="G6" s="8"/>
      <c r="H6" s="8"/>
      <c r="I6" s="8"/>
      <c r="J6" s="8"/>
      <c r="K6" s="8"/>
      <c r="L6" s="8"/>
    </row>
    <row r="7" spans="1:13">
      <c r="A7" s="6" t="s">
        <v>9</v>
      </c>
      <c r="B7" s="7">
        <f>SUM(D11:D27)</f>
        <v>5025.67</v>
      </c>
      <c r="D7" s="6" t="s">
        <v>10</v>
      </c>
      <c r="E7" s="7">
        <v>2550</v>
      </c>
      <c r="G7" s="8"/>
      <c r="H7" s="8"/>
      <c r="I7" s="8"/>
      <c r="J7" s="8"/>
      <c r="K7" s="8"/>
      <c r="L7" s="8"/>
    </row>
    <row r="8" spans="1:13">
      <c r="A8" s="6" t="s">
        <v>11</v>
      </c>
      <c r="B8" s="7">
        <f>5100-B7</f>
        <v>74.3299999999999</v>
      </c>
      <c r="G8" s="8"/>
      <c r="H8" s="8"/>
      <c r="I8" s="8"/>
      <c r="J8" s="8"/>
      <c r="K8" s="8"/>
      <c r="L8" s="8"/>
      <c r="M8" cm="1">
        <f t="array" ref="M8:M11">I11:I14</f>
        <v>426.45</v>
      </c>
    </row>
    <row r="9" spans="1:13">
      <c r="M9">
        <v>267.96</v>
      </c>
    </row>
    <row r="10" ht="38" customHeight="1" spans="1:13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20</v>
      </c>
      <c r="J10" s="9" t="s">
        <v>21</v>
      </c>
      <c r="K10" s="9" t="s">
        <v>22</v>
      </c>
      <c r="L10" s="9" t="s">
        <v>23</v>
      </c>
      <c r="M10">
        <v>19.59</v>
      </c>
    </row>
    <row r="11" ht="34" customHeight="1" spans="1:13">
      <c r="A11" s="10">
        <v>1</v>
      </c>
      <c r="B11" s="11" t="s">
        <v>24</v>
      </c>
      <c r="C11" s="10" t="s">
        <v>25</v>
      </c>
      <c r="D11" s="12">
        <v>833</v>
      </c>
      <c r="E11" s="12">
        <v>406.55</v>
      </c>
      <c r="F11" s="12">
        <v>0</v>
      </c>
      <c r="G11" s="12">
        <v>426.45</v>
      </c>
      <c r="H11" s="12">
        <v>406.55</v>
      </c>
      <c r="I11" s="12">
        <v>426.45</v>
      </c>
      <c r="J11" s="10" t="s">
        <v>26</v>
      </c>
      <c r="K11" s="10" t="s">
        <v>27</v>
      </c>
      <c r="L11" s="11" t="s">
        <v>28</v>
      </c>
      <c r="M11">
        <v>468</v>
      </c>
    </row>
    <row r="12" ht="34" customHeight="1" spans="1:13">
      <c r="A12" s="10">
        <v>2</v>
      </c>
      <c r="B12" s="11" t="s">
        <v>29</v>
      </c>
      <c r="C12" s="10" t="s">
        <v>25</v>
      </c>
      <c r="D12" s="12">
        <v>327.25</v>
      </c>
      <c r="E12" s="12">
        <v>59.29</v>
      </c>
      <c r="F12" s="12">
        <v>0</v>
      </c>
      <c r="G12" s="12">
        <v>267.96</v>
      </c>
      <c r="H12" s="12">
        <v>59.29</v>
      </c>
      <c r="I12" s="12">
        <v>267.96</v>
      </c>
      <c r="J12" s="10" t="s">
        <v>26</v>
      </c>
      <c r="K12" s="10" t="s">
        <v>27</v>
      </c>
      <c r="L12" s="11" t="s">
        <v>28</v>
      </c>
    </row>
    <row r="13" ht="34" customHeight="1" spans="1:13">
      <c r="A13" s="10">
        <v>3</v>
      </c>
      <c r="B13" s="11" t="s">
        <v>30</v>
      </c>
      <c r="C13" s="10" t="s">
        <v>25</v>
      </c>
      <c r="D13" s="12">
        <v>29.75</v>
      </c>
      <c r="E13" s="12">
        <v>10.16</v>
      </c>
      <c r="F13" s="12">
        <v>0</v>
      </c>
      <c r="G13" s="12">
        <v>19.59</v>
      </c>
      <c r="H13" s="12">
        <v>10.16</v>
      </c>
      <c r="I13" s="12">
        <v>19.59</v>
      </c>
      <c r="J13" s="10" t="s">
        <v>26</v>
      </c>
      <c r="K13" s="10" t="s">
        <v>27</v>
      </c>
      <c r="L13" s="11" t="s">
        <v>28</v>
      </c>
    </row>
    <row r="14" ht="34" customHeight="1" spans="1:13">
      <c r="A14" s="10">
        <v>4</v>
      </c>
      <c r="B14" s="11" t="s">
        <v>31</v>
      </c>
      <c r="C14" s="10" t="s">
        <v>25</v>
      </c>
      <c r="D14" s="12">
        <v>780</v>
      </c>
      <c r="E14" s="12">
        <v>312</v>
      </c>
      <c r="F14" s="12">
        <v>0</v>
      </c>
      <c r="G14" s="12">
        <v>468</v>
      </c>
      <c r="H14" s="12">
        <v>312</v>
      </c>
      <c r="I14" s="12">
        <v>468</v>
      </c>
      <c r="J14" s="10" t="s">
        <v>26</v>
      </c>
      <c r="K14" s="10" t="s">
        <v>27</v>
      </c>
      <c r="L14" s="11" t="s">
        <v>32</v>
      </c>
    </row>
    <row r="15" ht="34" customHeight="1" spans="1:13">
      <c r="A15" s="10">
        <v>5</v>
      </c>
      <c r="B15" s="11" t="s">
        <v>33</v>
      </c>
      <c r="C15" s="10" t="s">
        <v>25</v>
      </c>
      <c r="D15" s="12">
        <v>290</v>
      </c>
      <c r="E15" s="12">
        <v>116</v>
      </c>
      <c r="F15" s="12">
        <v>0</v>
      </c>
      <c r="G15" s="12">
        <v>174</v>
      </c>
      <c r="H15" s="12">
        <v>290</v>
      </c>
      <c r="I15" s="12">
        <v>0</v>
      </c>
      <c r="J15" s="10" t="s">
        <v>34</v>
      </c>
      <c r="K15" s="10" t="s">
        <v>35</v>
      </c>
      <c r="L15" s="11" t="s">
        <v>36</v>
      </c>
    </row>
    <row r="16" ht="34" customHeight="1" spans="1:13">
      <c r="A16" s="10">
        <v>6</v>
      </c>
      <c r="B16" s="11" t="s">
        <v>37</v>
      </c>
      <c r="C16" s="10" t="s">
        <v>25</v>
      </c>
      <c r="D16" s="12">
        <v>229.8</v>
      </c>
      <c r="E16" s="12">
        <v>229.8</v>
      </c>
      <c r="F16" s="12">
        <v>0</v>
      </c>
      <c r="G16" s="12">
        <v>0</v>
      </c>
      <c r="H16" s="12">
        <v>229.8</v>
      </c>
      <c r="I16" s="12">
        <v>0</v>
      </c>
      <c r="J16" s="10" t="s">
        <v>38</v>
      </c>
      <c r="K16" s="10" t="s">
        <v>35</v>
      </c>
      <c r="L16" s="11" t="s">
        <v>39</v>
      </c>
    </row>
    <row r="17" ht="34" customHeight="1" spans="1:12">
      <c r="A17" s="10">
        <v>7</v>
      </c>
      <c r="B17" s="11" t="s">
        <v>40</v>
      </c>
      <c r="C17" s="10" t="s">
        <v>25</v>
      </c>
      <c r="D17" s="12">
        <v>159.8</v>
      </c>
      <c r="E17" s="12">
        <v>159.8</v>
      </c>
      <c r="F17" s="12">
        <v>0</v>
      </c>
      <c r="G17" s="12">
        <v>0</v>
      </c>
      <c r="H17" s="12">
        <v>159.8</v>
      </c>
      <c r="I17" s="12">
        <v>0</v>
      </c>
      <c r="J17" s="10" t="s">
        <v>38</v>
      </c>
      <c r="K17" s="10" t="s">
        <v>35</v>
      </c>
      <c r="L17" s="11" t="s">
        <v>39</v>
      </c>
    </row>
    <row r="18" ht="34" customHeight="1" spans="1:12">
      <c r="A18" s="10">
        <v>8</v>
      </c>
      <c r="B18" s="11" t="s">
        <v>41</v>
      </c>
      <c r="C18" s="10" t="s">
        <v>25</v>
      </c>
      <c r="D18" s="12">
        <v>127.57</v>
      </c>
      <c r="E18" s="12">
        <v>127.57</v>
      </c>
      <c r="F18" s="12">
        <v>0</v>
      </c>
      <c r="G18" s="12">
        <v>0</v>
      </c>
      <c r="H18" s="12">
        <v>127.57</v>
      </c>
      <c r="I18" s="12">
        <v>0</v>
      </c>
      <c r="J18" s="10" t="s">
        <v>38</v>
      </c>
      <c r="K18" s="10" t="s">
        <v>35</v>
      </c>
      <c r="L18" s="11" t="s">
        <v>39</v>
      </c>
    </row>
    <row r="19" ht="34" customHeight="1" spans="1:12">
      <c r="A19" s="10">
        <v>9</v>
      </c>
      <c r="B19" s="11" t="s">
        <v>42</v>
      </c>
      <c r="C19" s="10" t="s">
        <v>25</v>
      </c>
      <c r="D19" s="12">
        <v>99.5</v>
      </c>
      <c r="E19" s="12">
        <v>0</v>
      </c>
      <c r="F19" s="12">
        <v>39.8</v>
      </c>
      <c r="G19" s="12">
        <v>59.7</v>
      </c>
      <c r="H19" s="12">
        <v>99.5</v>
      </c>
      <c r="I19" s="12">
        <v>0</v>
      </c>
      <c r="J19" s="10" t="s">
        <v>34</v>
      </c>
      <c r="K19" s="10" t="s">
        <v>35</v>
      </c>
      <c r="L19" s="11" t="s">
        <v>43</v>
      </c>
    </row>
    <row r="20" ht="34" customHeight="1" spans="1:12">
      <c r="A20" s="10">
        <v>10</v>
      </c>
      <c r="B20" s="11" t="s">
        <v>44</v>
      </c>
      <c r="C20" s="10" t="s">
        <v>45</v>
      </c>
      <c r="D20" s="12">
        <v>160</v>
      </c>
      <c r="E20" s="12">
        <v>0</v>
      </c>
      <c r="F20" s="12">
        <v>0</v>
      </c>
      <c r="G20" s="12">
        <v>160</v>
      </c>
      <c r="H20" s="12">
        <v>160</v>
      </c>
      <c r="I20" s="12">
        <v>0</v>
      </c>
      <c r="J20" s="10" t="s">
        <v>34</v>
      </c>
      <c r="K20" s="10" t="s">
        <v>27</v>
      </c>
      <c r="L20" s="11" t="s">
        <v>46</v>
      </c>
    </row>
    <row r="21" ht="34" customHeight="1" spans="1:12">
      <c r="A21" s="10">
        <v>11</v>
      </c>
      <c r="B21" s="11" t="s">
        <v>47</v>
      </c>
      <c r="C21" s="10" t="s">
        <v>45</v>
      </c>
      <c r="D21" s="12">
        <v>240</v>
      </c>
      <c r="E21" s="12">
        <v>0</v>
      </c>
      <c r="F21" s="12">
        <v>0</v>
      </c>
      <c r="G21" s="12">
        <v>240</v>
      </c>
      <c r="H21" s="12">
        <v>240</v>
      </c>
      <c r="I21" s="12">
        <v>0</v>
      </c>
      <c r="J21" s="10" t="s">
        <v>34</v>
      </c>
      <c r="K21" s="10" t="s">
        <v>27</v>
      </c>
      <c r="L21" s="11" t="s">
        <v>48</v>
      </c>
    </row>
    <row r="22" ht="34" customHeight="1" spans="1:12">
      <c r="A22" s="10">
        <v>12</v>
      </c>
      <c r="B22" s="11" t="s">
        <v>49</v>
      </c>
      <c r="C22" s="10" t="s">
        <v>25</v>
      </c>
      <c r="D22" s="12">
        <v>127</v>
      </c>
      <c r="E22" s="12">
        <v>0</v>
      </c>
      <c r="F22" s="12">
        <v>50.8</v>
      </c>
      <c r="G22" s="12">
        <v>76.2</v>
      </c>
      <c r="H22" s="12">
        <v>127</v>
      </c>
      <c r="I22" s="12">
        <v>0</v>
      </c>
      <c r="J22" s="10" t="s">
        <v>34</v>
      </c>
      <c r="K22" s="10" t="s">
        <v>27</v>
      </c>
      <c r="L22" s="11" t="s">
        <v>50</v>
      </c>
    </row>
    <row r="23" ht="34" customHeight="1" spans="1:12">
      <c r="A23" s="10">
        <v>13</v>
      </c>
      <c r="B23" s="11" t="s">
        <v>51</v>
      </c>
      <c r="C23" s="10" t="s">
        <v>25</v>
      </c>
      <c r="D23" s="12">
        <v>540</v>
      </c>
      <c r="E23" s="12">
        <v>0</v>
      </c>
      <c r="F23" s="12">
        <v>216</v>
      </c>
      <c r="G23" s="12">
        <v>324</v>
      </c>
      <c r="H23" s="12">
        <v>0</v>
      </c>
      <c r="I23" s="12">
        <v>540</v>
      </c>
      <c r="J23" s="10" t="s">
        <v>26</v>
      </c>
      <c r="K23" s="10" t="s">
        <v>35</v>
      </c>
      <c r="L23" s="11" t="s">
        <v>52</v>
      </c>
    </row>
    <row r="24" ht="34" customHeight="1" spans="1:12">
      <c r="A24" s="10">
        <v>14</v>
      </c>
      <c r="B24" s="11" t="s">
        <v>53</v>
      </c>
      <c r="C24" s="10" t="s">
        <v>25</v>
      </c>
      <c r="D24" s="12">
        <v>720</v>
      </c>
      <c r="E24" s="12">
        <v>0</v>
      </c>
      <c r="F24" s="12">
        <v>288</v>
      </c>
      <c r="G24" s="12">
        <v>432</v>
      </c>
      <c r="H24" s="12">
        <v>0</v>
      </c>
      <c r="I24" s="12">
        <v>720</v>
      </c>
      <c r="J24" s="10" t="s">
        <v>26</v>
      </c>
      <c r="K24" s="10" t="s">
        <v>35</v>
      </c>
      <c r="L24" s="11" t="s">
        <v>54</v>
      </c>
    </row>
    <row r="25" ht="34" customHeight="1" spans="1:12">
      <c r="A25" s="10">
        <v>15</v>
      </c>
      <c r="B25" s="11" t="s">
        <v>55</v>
      </c>
      <c r="C25" s="10" t="s">
        <v>45</v>
      </c>
      <c r="D25" s="12">
        <v>52</v>
      </c>
      <c r="E25" s="12">
        <v>0</v>
      </c>
      <c r="F25" s="12">
        <v>0</v>
      </c>
      <c r="G25" s="12">
        <v>52</v>
      </c>
      <c r="H25" s="12">
        <v>52</v>
      </c>
      <c r="I25" s="12">
        <v>0</v>
      </c>
      <c r="J25" s="10" t="s">
        <v>34</v>
      </c>
      <c r="K25" s="10" t="s">
        <v>27</v>
      </c>
      <c r="L25" s="11" t="s">
        <v>48</v>
      </c>
    </row>
    <row r="26" ht="34" customHeight="1" spans="1:12">
      <c r="A26" s="10">
        <v>16</v>
      </c>
      <c r="B26" s="11" t="s">
        <v>56</v>
      </c>
      <c r="C26" s="10" t="s">
        <v>45</v>
      </c>
      <c r="D26" s="12">
        <v>108</v>
      </c>
      <c r="E26" s="12">
        <v>0</v>
      </c>
      <c r="F26" s="12">
        <v>0</v>
      </c>
      <c r="G26" s="12">
        <v>108</v>
      </c>
      <c r="H26" s="12">
        <v>108</v>
      </c>
      <c r="I26" s="12">
        <v>0</v>
      </c>
      <c r="J26" s="10" t="s">
        <v>34</v>
      </c>
      <c r="K26" s="10" t="s">
        <v>27</v>
      </c>
      <c r="L26" s="11" t="s">
        <v>48</v>
      </c>
    </row>
    <row r="27" ht="34" customHeight="1" spans="1:12">
      <c r="A27" s="10">
        <v>17</v>
      </c>
      <c r="B27" s="11" t="s">
        <v>57</v>
      </c>
      <c r="C27" s="10" t="s">
        <v>45</v>
      </c>
      <c r="D27" s="12">
        <v>202</v>
      </c>
      <c r="E27" s="12">
        <v>0</v>
      </c>
      <c r="F27" s="12">
        <v>0</v>
      </c>
      <c r="G27" s="12">
        <v>202</v>
      </c>
      <c r="H27" s="12">
        <v>202</v>
      </c>
      <c r="I27" s="12">
        <v>0</v>
      </c>
      <c r="J27" s="10" t="s">
        <v>34</v>
      </c>
      <c r="K27" s="10" t="s">
        <v>27</v>
      </c>
      <c r="L27" s="11" t="s">
        <v>48</v>
      </c>
    </row>
    <row r="28" ht="28" customHeight="1" spans="1:12">
      <c r="A28" s="13" t="s">
        <v>58</v>
      </c>
      <c r="B28" s="13"/>
      <c r="C28" s="13"/>
      <c r="D28" s="14">
        <f t="shared" ref="D28:I28" si="0">SUM(D11:D27)</f>
        <v>5025.67</v>
      </c>
      <c r="E28" s="14">
        <f t="shared" si="0"/>
        <v>1421.17</v>
      </c>
      <c r="F28" s="14">
        <f t="shared" si="0"/>
        <v>594.6</v>
      </c>
      <c r="G28" s="14">
        <f t="shared" si="0"/>
        <v>3009.9</v>
      </c>
      <c r="H28" s="14">
        <f t="shared" si="0"/>
        <v>2583.67</v>
      </c>
      <c r="I28" s="14">
        <f t="shared" si="0"/>
        <v>2442</v>
      </c>
      <c r="J28" s="13" t="s">
        <v>59</v>
      </c>
      <c r="K28" s="13"/>
      <c r="L28" s="13"/>
    </row>
  </sheetData>
  <mergeCells count="6">
    <mergeCell ref="A1:L1"/>
    <mergeCell ref="A2:L2"/>
    <mergeCell ref="G4:L4"/>
    <mergeCell ref="A28:C28"/>
    <mergeCell ref="J28:L28"/>
    <mergeCell ref="G5:L8"/>
  </mergeCells>
  <conditionalFormatting sqref="A11:L27">
    <cfRule type="expression" dxfId="12" priority="1">
      <formula>$K11="是"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资金调整明细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</cp:lastModifiedBy>
  <dcterms:created xsi:type="dcterms:W3CDTF">2026-09-10T12:37:50Z</dcterms:created>
  <dcterms:modified xsi:type="dcterms:W3CDTF">2026-09-10T14:07:08Z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39DB68EEA325A6E2C53CA26A0457B471_42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