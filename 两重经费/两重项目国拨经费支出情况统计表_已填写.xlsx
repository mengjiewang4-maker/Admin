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<sst xmlns="http://schemas.openxmlformats.org/spreadsheetml/2006/main" count="70" uniqueCount="30">
  <si>
    <t>“两重”项目国拨经费支出情况统计表</t>
  </si>
  <si>
    <t>序号</t>
  </si>
  <si>
    <t>所属
平台</t>
  </si>
  <si>
    <t>设备名称</t>
  </si>
  <si>
    <t>概算情况</t>
  </si>
  <si>
    <t>采购情况</t>
  </si>
  <si>
    <t>备注</t>
  </si>
  <si>
    <t>设备单价
（万）</t>
  </si>
  <si>
    <t>台/套数</t>
  </si>
  <si>
    <t>总价
（万）</t>
  </si>
  <si>
    <t>是否完成
意向公开</t>
  </si>
  <si>
    <t>是否完成
招标公布</t>
  </si>
  <si>
    <t>中标价
（万）</t>
  </si>
  <si>
    <t>是否完成采购合同签订</t>
  </si>
  <si>
    <t>已支付金额（万）</t>
  </si>
  <si>
    <t>LK</t>
  </si>
  <si>
    <t>光学主镜</t>
  </si>
  <si>
    <t>是</t>
  </si>
  <si>
    <t>国拨476万元；贷款357万元。于2025年支付，计划2026年全部支出</t>
  </si>
  <si>
    <t>主镜筒机电结构</t>
  </si>
  <si>
    <t>于2025年支付，计划2026年全部支出</t>
  </si>
  <si>
    <t>拼接基座及外框架</t>
  </si>
  <si>
    <t>钠原子探测激光雷达</t>
  </si>
  <si>
    <t>临空高精度激光泵浦电磁探测系统</t>
  </si>
  <si>
    <t>临近空间自由基分析仪</t>
  </si>
  <si>
    <t>多要素校准光源模块</t>
  </si>
  <si>
    <t>激光共聚焦成像系统</t>
  </si>
  <si>
    <t>临空探测雷达地面实验监测与控制系统</t>
  </si>
  <si>
    <t>于2026年支付，计划2026年全部支出</t>
  </si>
  <si>
    <t>批复国拨经费2550万元，设备费及其他费用共2519.67万元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</si>
</sst>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1">
    <font>
      <sz val="11"/>
      <color theme="1"/>
      <name val="等线"/>
      <charset val="134"/>
    </font>
    <font>
      <sz val="12"/>
      <name val="等线"/>
      <charset val="134"/>
    </font>
    <font>
      <b/>
      <sz val="12"/>
      <name val="等线"/>
      <charset val="134"/>
    </font>
    <font>
      <b/>
      <sz val="16"/>
      <name val="SimSong Regular"/>
      <charset val="134"/>
    </font>
    <font>
      <b/>
      <sz val="12"/>
      <name val="SimSong Regular"/>
      <charset val="134"/>
    </font>
    <font>
      <sz val="12"/>
      <name val="SimSong Regular"/>
      <charset val="134"/>
    </font>
    <font>
      <sz val="12"/>
      <color theme="1"/>
      <name val="SimSong Regular"/>
      <charset val="134"/>
    </font>
    <font>
      <sz val="12"/>
      <color rgb="FFFF0000"/>
      <name val="SimSong Regular"/>
      <charset val="134"/>
    </font>
    <font>
      <sz val="12"/>
      <color theme="1"/>
      <name val="等线"/>
      <charset val="134"/>
    </font>
    <font>
      <sz val="12"/>
      <color rgb="FFFF0000"/>
      <name val="等线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4" applyNumberFormat="0" applyAlignment="0" applyProtection="0">
      <alignment vertical="center"/>
    </xf>
    <xf numFmtId="0" fontId="20" fillId="7" borderId="15" applyNumberFormat="0" applyAlignment="0" applyProtection="0">
      <alignment vertical="center"/>
    </xf>
    <xf numFmtId="0" fontId="21" fillId="7" borderId="14" applyNumberFormat="0" applyAlignment="0" applyProtection="0">
      <alignment vertical="center"/>
    </xf>
    <xf numFmtId="0" fontId="22" fillId="8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30" fillId="0" borderId="0">
      <alignment vertical="center"/>
    </xf>
  </cellStyleXfs>
  <cellXfs count="4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3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3" borderId="3" xfId="0" applyNumberFormat="1" applyFont="1" applyFill="1" applyBorder="1" applyAlignment="1">
      <alignment horizontal="center" vertical="center" wrapText="1"/>
    </xf>
    <xf numFmtId="0" fontId="6" fillId="3" borderId="3" xfId="0" applyNumberFormat="1" applyFont="1" applyFill="1" applyBorder="1" applyAlignment="1">
      <alignment horizontal="center" vertical="center" wrapText="1"/>
    </xf>
    <xf numFmtId="2" fontId="5" fillId="3" borderId="6" xfId="0" applyNumberFormat="1" applyFont="1" applyFill="1" applyBorder="1" applyAlignment="1">
      <alignment horizontal="center" vertical="center" wrapText="1"/>
    </xf>
    <xf numFmtId="1" fontId="5" fillId="3" borderId="3" xfId="0" applyNumberFormat="1" applyFont="1" applyFill="1" applyBorder="1" applyAlignment="1">
      <alignment horizontal="center" vertical="center" wrapText="1"/>
    </xf>
    <xf numFmtId="2" fontId="5" fillId="3" borderId="3" xfId="0" applyNumberFormat="1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5" fillId="4" borderId="3" xfId="0" applyNumberFormat="1" applyFont="1" applyFill="1" applyBorder="1" applyAlignment="1">
      <alignment horizontal="center" vertical="center" wrapText="1"/>
    </xf>
    <xf numFmtId="0" fontId="6" fillId="4" borderId="3" xfId="0" applyNumberFormat="1" applyFont="1" applyFill="1" applyBorder="1" applyAlignment="1">
      <alignment horizontal="center" vertical="center" wrapText="1"/>
    </xf>
    <xf numFmtId="2" fontId="5" fillId="4" borderId="6" xfId="0" applyNumberFormat="1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 wrapText="1"/>
    </xf>
    <xf numFmtId="2" fontId="5" fillId="4" borderId="3" xfId="0" applyNumberFormat="1" applyFont="1" applyFill="1" applyBorder="1" applyAlignment="1">
      <alignment horizontal="center" vertical="center" wrapText="1"/>
    </xf>
    <xf numFmtId="0" fontId="7" fillId="4" borderId="3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6" fillId="2" borderId="3" xfId="0" applyNumberFormat="1" applyFont="1" applyFill="1" applyBorder="1" applyAlignment="1">
      <alignment horizontal="center" vertical="center" wrapText="1"/>
    </xf>
    <xf numFmtId="2" fontId="5" fillId="2" borderId="6" xfId="0" applyNumberFormat="1" applyFont="1" applyFill="1" applyBorder="1" applyAlignment="1">
      <alignment horizontal="center" vertical="center" wrapText="1"/>
    </xf>
    <xf numFmtId="1" fontId="5" fillId="2" borderId="3" xfId="0" applyNumberFormat="1" applyFont="1" applyFill="1" applyBorder="1" applyAlignment="1">
      <alignment horizontal="center" vertical="center" wrapText="1"/>
    </xf>
    <xf numFmtId="2" fontId="5" fillId="2" borderId="3" xfId="0" applyNumberFormat="1" applyFont="1" applyFill="1" applyBorder="1" applyAlignment="1">
      <alignment horizontal="center" vertical="center" wrapText="1"/>
    </xf>
    <xf numFmtId="0" fontId="7" fillId="2" borderId="3" xfId="0" applyNumberFormat="1" applyFont="1" applyFill="1" applyBorder="1" applyAlignment="1">
      <alignment horizontal="center" vertical="center" wrapText="1"/>
    </xf>
    <xf numFmtId="0" fontId="5" fillId="2" borderId="7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176" fontId="1" fillId="2" borderId="6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" xfId="49" applyFont="1" applyFill="1" applyBorder="1" applyAlignment="1">
      <alignment horizontal="center" vertical="center" wrapText="1"/>
    </xf>
    <xf numFmtId="0" fontId="1" fillId="2" borderId="7" xfId="49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tabSelected="1" workbookViewId="0">
      <selection activeCell="A10" sqref="A10:L10"/>
    </sheetView>
  </sheetViews>
  <sheetFormatPr defaultColWidth="9" defaultRowHeight="16.8"/>
  <cols>
    <col min="1" max="2" width="8.66071428571429" style="3"/>
    <col min="3" max="3" width="18.9107142857143" style="3" customWidth="1"/>
    <col min="4" max="4" width="15.3303571428571" style="3" customWidth="1"/>
    <col min="5" max="6" width="8.66071428571429" style="3"/>
    <col min="7" max="7" width="17" style="3" customWidth="1"/>
    <col min="8" max="8" width="12.8303571428571" style="3" customWidth="1"/>
    <col min="9" max="9" width="8.66071428571429" style="3"/>
    <col min="10" max="10" width="12.5803571428571" style="3" customWidth="1"/>
    <col min="11" max="11" width="10.75" style="3" customWidth="1"/>
    <col min="12" max="12" width="35.1160714285714" style="3" customWidth="1"/>
    <col min="13" max="16384" width="8.66071428571429" style="3"/>
  </cols>
  <sheetData>
    <row r="1" s="1" customFormat="1" ht="23.2" spans="1:1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</row>
    <row r="2" s="1" customFormat="1" ht="17.6" spans="1:13">
      <c r="A2" s="6" t="s">
        <v>1</v>
      </c>
      <c r="B2" s="7" t="s">
        <v>2</v>
      </c>
      <c r="C2" s="6" t="s">
        <v>3</v>
      </c>
      <c r="D2" s="6" t="s">
        <v>4</v>
      </c>
      <c r="E2" s="6"/>
      <c r="F2" s="6"/>
      <c r="G2" s="6" t="s">
        <v>5</v>
      </c>
      <c r="H2" s="6"/>
      <c r="I2" s="6"/>
      <c r="J2" s="6"/>
      <c r="K2" s="6"/>
      <c r="L2" s="8" t="s">
        <v>6</v>
      </c>
      <c r="M2" s="5"/>
    </row>
    <row r="3" s="2" customFormat="1" ht="36" spans="1:13">
      <c r="A3" s="6"/>
      <c r="B3" s="6"/>
      <c r="C3" s="6"/>
      <c r="D3" s="7" t="s">
        <v>7</v>
      </c>
      <c r="E3" s="6" t="s">
        <v>8</v>
      </c>
      <c r="F3" s="7" t="s">
        <v>9</v>
      </c>
      <c r="G3" s="7" t="s">
        <v>10</v>
      </c>
      <c r="H3" s="7" t="s">
        <v>11</v>
      </c>
      <c r="I3" s="7" t="s">
        <v>12</v>
      </c>
      <c r="J3" s="7" t="s">
        <v>13</v>
      </c>
      <c r="K3" s="7" t="s">
        <v>14</v>
      </c>
      <c r="L3" s="9"/>
      <c r="M3" s="10"/>
    </row>
    <row r="4" s="1" customFormat="1" ht="38" customHeight="1" spans="1:13">
      <c r="A4" s="11">
        <v>1</v>
      </c>
      <c r="B4" s="11" t="s">
        <v>15</v>
      </c>
      <c r="C4" s="12" t="s">
        <v>16</v>
      </c>
      <c r="D4" s="13">
        <v>208.25</v>
      </c>
      <c r="E4" s="14">
        <v>4</v>
      </c>
      <c r="F4" s="15">
        <f t="shared" ref="F4:F12" si="0">D4*E4</f>
        <v>833</v>
      </c>
      <c r="G4" s="11" t="s">
        <v>17</v>
      </c>
      <c r="H4" s="11" t="s">
        <v>17</v>
      </c>
      <c r="I4" s="15">
        <v>833</v>
      </c>
      <c r="J4" s="16" t="s">
        <v>17</v>
      </c>
      <c r="K4" s="15">
        <v>406.55</v>
      </c>
      <c r="L4" s="17" t="s">
        <v>18</v>
      </c>
      <c r="M4" s="5"/>
    </row>
    <row r="5" s="1" customFormat="1" ht="38" customHeight="1" spans="1:13">
      <c r="A5" s="11">
        <v>2</v>
      </c>
      <c r="B5" s="11" t="s">
        <v>15</v>
      </c>
      <c r="C5" s="12" t="s">
        <v>19</v>
      </c>
      <c r="D5" s="13">
        <v>327.25</v>
      </c>
      <c r="E5" s="14">
        <v>1</v>
      </c>
      <c r="F5" s="15">
        <f t="shared" si="0"/>
        <v>327.25</v>
      </c>
      <c r="G5" s="11" t="s">
        <v>17</v>
      </c>
      <c r="H5" s="11" t="s">
        <v>17</v>
      </c>
      <c r="I5" s="15">
        <v>327.25</v>
      </c>
      <c r="J5" s="16" t="s">
        <v>17</v>
      </c>
      <c r="K5" s="15">
        <v>59.29</v>
      </c>
      <c r="L5" s="17" t="s">
        <v>20</v>
      </c>
      <c r="M5" s="5"/>
    </row>
    <row r="6" s="1" customFormat="1" ht="38" customHeight="1" spans="1:13">
      <c r="A6" s="11">
        <v>3</v>
      </c>
      <c r="B6" s="11" t="s">
        <v>15</v>
      </c>
      <c r="C6" s="12" t="s">
        <v>21</v>
      </c>
      <c r="D6" s="13">
        <v>29.75</v>
      </c>
      <c r="E6" s="14">
        <v>1</v>
      </c>
      <c r="F6" s="15">
        <f t="shared" si="0"/>
        <v>29.75</v>
      </c>
      <c r="G6" s="11" t="s">
        <v>17</v>
      </c>
      <c r="H6" s="11" t="s">
        <v>17</v>
      </c>
      <c r="I6" s="15">
        <v>29.75</v>
      </c>
      <c r="J6" s="16" t="s">
        <v>17</v>
      </c>
      <c r="K6" s="15">
        <v>10.16</v>
      </c>
      <c r="L6" s="17" t="s">
        <v>20</v>
      </c>
      <c r="M6" s="5"/>
    </row>
    <row r="7" s="1" customFormat="1" ht="38" customHeight="1" spans="1:13">
      <c r="A7" s="18">
        <v>4</v>
      </c>
      <c r="B7" s="18" t="s">
        <v>15</v>
      </c>
      <c r="C7" s="19" t="s">
        <v>22</v>
      </c>
      <c r="D7" s="20">
        <v>780</v>
      </c>
      <c r="E7" s="21">
        <v>1</v>
      </c>
      <c r="F7" s="22">
        <f t="shared" si="0"/>
        <v>780</v>
      </c>
      <c r="G7" s="18" t="s">
        <v>17</v>
      </c>
      <c r="H7" s="18" t="s">
        <v>17</v>
      </c>
      <c r="I7" s="22">
        <v>780</v>
      </c>
      <c r="J7" s="23" t="s">
        <v>17</v>
      </c>
      <c r="K7" s="22">
        <v>312</v>
      </c>
      <c r="L7" s="24" t="s">
        <v>20</v>
      </c>
      <c r="M7" s="5"/>
    </row>
    <row r="8" s="1" customFormat="1" ht="38" customHeight="1" spans="1:13">
      <c r="A8" s="25">
        <v>5</v>
      </c>
      <c r="B8" s="25" t="s">
        <v>15</v>
      </c>
      <c r="C8" s="26" t="s">
        <v>23</v>
      </c>
      <c r="D8" s="27">
        <v>290</v>
      </c>
      <c r="E8" s="28">
        <v>1</v>
      </c>
      <c r="F8" s="29">
        <f t="shared" si="0"/>
        <v>290</v>
      </c>
      <c r="G8" s="25" t="s">
        <v>17</v>
      </c>
      <c r="H8" s="25" t="s">
        <v>17</v>
      </c>
      <c r="I8" s="29">
        <v>290</v>
      </c>
      <c r="J8" s="30" t="s">
        <v>17</v>
      </c>
      <c r="K8" s="29">
        <v>116</v>
      </c>
      <c r="L8" s="31" t="s">
        <v>20</v>
      </c>
      <c r="M8" s="5"/>
    </row>
    <row r="9" s="1" customFormat="1" ht="38" customHeight="1" spans="1:13">
      <c r="A9" s="25">
        <v>6</v>
      </c>
      <c r="B9" s="25" t="s">
        <v>15</v>
      </c>
      <c r="C9" s="26" t="s">
        <v>24</v>
      </c>
      <c r="D9" s="27">
        <v>229.8</v>
      </c>
      <c r="E9" s="28">
        <v>1</v>
      </c>
      <c r="F9" s="29">
        <f t="shared" si="0"/>
        <v>229.8</v>
      </c>
      <c r="G9" s="25" t="s">
        <v>17</v>
      </c>
      <c r="H9" s="25" t="s">
        <v>17</v>
      </c>
      <c r="I9" s="29">
        <v>229.8</v>
      </c>
      <c r="J9" s="30" t="s">
        <v>17</v>
      </c>
      <c r="K9" s="29">
        <v>229.8</v>
      </c>
      <c r="L9" s="31" t="s">
        <v>20</v>
      </c>
      <c r="M9" s="5"/>
    </row>
    <row r="10" s="1" customFormat="1" ht="38" customHeight="1" spans="1:13">
      <c r="A10" s="18">
        <v>7</v>
      </c>
      <c r="B10" s="18" t="s">
        <v>15</v>
      </c>
      <c r="C10" s="19" t="s">
        <v>25</v>
      </c>
      <c r="D10" s="20">
        <v>159.8</v>
      </c>
      <c r="E10" s="21">
        <v>1</v>
      </c>
      <c r="F10" s="22">
        <f t="shared" si="0"/>
        <v>159.8</v>
      </c>
      <c r="G10" s="18" t="s">
        <v>17</v>
      </c>
      <c r="H10" s="18" t="s">
        <v>17</v>
      </c>
      <c r="I10" s="22">
        <v>159.8</v>
      </c>
      <c r="J10" s="23" t="s">
        <v>17</v>
      </c>
      <c r="K10" s="22">
        <v>159.8</v>
      </c>
      <c r="L10" s="24" t="s">
        <v>20</v>
      </c>
      <c r="M10" s="5"/>
    </row>
    <row r="11" s="1" customFormat="1" ht="38" customHeight="1" spans="1:13">
      <c r="A11" s="25">
        <v>8</v>
      </c>
      <c r="B11" s="25" t="s">
        <v>15</v>
      </c>
      <c r="C11" s="26" t="s">
        <v>26</v>
      </c>
      <c r="D11" s="27">
        <v>127.57</v>
      </c>
      <c r="E11" s="28">
        <v>1</v>
      </c>
      <c r="F11" s="29">
        <f t="shared" si="0"/>
        <v>127.57</v>
      </c>
      <c r="G11" s="25" t="s">
        <v>17</v>
      </c>
      <c r="H11" s="25" t="s">
        <v>17</v>
      </c>
      <c r="I11" s="29">
        <v>127.57</v>
      </c>
      <c r="J11" s="30" t="s">
        <v>17</v>
      </c>
      <c r="K11" s="29">
        <v>127.57</v>
      </c>
      <c r="L11" s="31" t="s">
        <v>20</v>
      </c>
      <c r="M11" s="5"/>
    </row>
    <row r="12" s="1" customFormat="1" ht="38" customHeight="1" spans="1:13">
      <c r="A12" s="25">
        <v>9</v>
      </c>
      <c r="B12" s="25" t="s">
        <v>15</v>
      </c>
      <c r="C12" s="26" t="s">
        <v>27</v>
      </c>
      <c r="D12" s="27">
        <v>99.5</v>
      </c>
      <c r="E12" s="28">
        <v>1</v>
      </c>
      <c r="F12" s="29">
        <f t="shared" si="0"/>
        <v>99.5</v>
      </c>
      <c r="G12" s="25" t="s">
        <v>17</v>
      </c>
      <c r="H12" s="25" t="s">
        <v>17</v>
      </c>
      <c r="I12" s="29">
        <v>99.5</v>
      </c>
      <c r="J12" s="30" t="s">
        <v>17</v>
      </c>
      <c r="K12" s="29">
        <v>39.8</v>
      </c>
      <c r="L12" s="31" t="s">
        <v>28</v>
      </c>
      <c r="M12" s="5"/>
    </row>
    <row r="13" s="1" customFormat="1" ht="25" customHeight="1" spans="1:13">
      <c r="A13" s="32"/>
      <c r="B13" s="32"/>
      <c r="C13" s="33"/>
      <c r="D13" s="34"/>
      <c r="E13" s="32"/>
      <c r="F13" s="32"/>
      <c r="G13" s="32"/>
      <c r="H13" s="32"/>
      <c r="I13" s="32"/>
      <c r="J13" s="35"/>
      <c r="K13" s="32"/>
      <c r="L13" s="36"/>
      <c r="M13" s="5"/>
    </row>
    <row r="14" s="1" customFormat="1" ht="25" customHeight="1" spans="1:13">
      <c r="A14" s="32"/>
      <c r="B14" s="32"/>
      <c r="C14" s="33"/>
      <c r="D14" s="34"/>
      <c r="E14" s="32"/>
      <c r="F14" s="32"/>
      <c r="G14" s="32"/>
      <c r="H14" s="32"/>
      <c r="I14" s="32"/>
      <c r="J14" s="35"/>
      <c r="K14" s="32"/>
      <c r="L14" s="36"/>
      <c r="M14" s="5"/>
    </row>
    <row r="15" s="1" customFormat="1" ht="25" customHeight="1" spans="1:13">
      <c r="A15" s="32"/>
      <c r="B15" s="32"/>
      <c r="C15" s="33"/>
      <c r="D15" s="34"/>
      <c r="E15" s="32"/>
      <c r="F15" s="32"/>
      <c r="G15" s="32"/>
      <c r="H15" s="32"/>
      <c r="I15" s="32"/>
      <c r="J15" s="35"/>
      <c r="K15" s="32"/>
      <c r="L15" s="36"/>
      <c r="M15" s="5"/>
    </row>
    <row r="16" s="1" customFormat="1" ht="25" customHeight="1" spans="1:13">
      <c r="A16" s="32"/>
      <c r="B16" s="32"/>
      <c r="C16" s="33"/>
      <c r="D16" s="34"/>
      <c r="E16" s="32"/>
      <c r="F16" s="32"/>
      <c r="G16" s="32"/>
      <c r="H16" s="32"/>
      <c r="I16" s="32"/>
      <c r="J16" s="35"/>
      <c r="K16" s="32"/>
      <c r="L16" s="36"/>
      <c r="M16" s="5"/>
    </row>
    <row r="17" s="1" customFormat="1" ht="25" customHeight="1" spans="1:13">
      <c r="A17" s="32"/>
      <c r="B17" s="32"/>
      <c r="C17" s="33"/>
      <c r="D17" s="34"/>
      <c r="E17" s="32"/>
      <c r="F17" s="32"/>
      <c r="G17" s="32"/>
      <c r="H17" s="32"/>
      <c r="I17" s="32"/>
      <c r="J17" s="35"/>
      <c r="K17" s="32"/>
      <c r="L17" s="36"/>
      <c r="M17" s="5"/>
    </row>
    <row r="18" s="1" customFormat="1" ht="25" customHeight="1" spans="1:13">
      <c r="A18" s="32"/>
      <c r="B18" s="32"/>
      <c r="C18" s="37"/>
      <c r="D18" s="37"/>
      <c r="E18" s="32"/>
      <c r="F18" s="32"/>
      <c r="G18" s="32"/>
      <c r="H18" s="32"/>
      <c r="I18" s="32"/>
      <c r="J18" s="35"/>
      <c r="K18" s="32"/>
      <c r="L18" s="36"/>
      <c r="M18" s="5"/>
    </row>
    <row r="19" s="1" customFormat="1" ht="17.6" spans="1:13">
      <c r="A19" s="32"/>
      <c r="B19" s="32"/>
      <c r="C19" s="37"/>
      <c r="D19" s="37"/>
      <c r="E19" s="32"/>
      <c r="F19" s="32"/>
      <c r="G19" s="32"/>
      <c r="H19" s="32"/>
      <c r="I19" s="32"/>
      <c r="J19" s="35"/>
      <c r="K19" s="32"/>
      <c r="L19" s="36"/>
      <c r="M19" s="5"/>
    </row>
    <row r="20" s="1" customFormat="1" ht="17.6" spans="1:13">
      <c r="A20" s="32"/>
      <c r="B20" s="32"/>
      <c r="C20" s="37"/>
      <c r="D20" s="37"/>
      <c r="E20" s="32"/>
      <c r="F20" s="32"/>
      <c r="G20" s="32"/>
      <c r="H20" s="32"/>
      <c r="I20" s="32"/>
      <c r="J20" s="35"/>
      <c r="K20" s="32"/>
      <c r="L20" s="36"/>
      <c r="M20" s="5"/>
    </row>
    <row r="21" s="1" customFormat="1" ht="17.6" spans="1:13">
      <c r="A21" s="32"/>
      <c r="B21" s="32"/>
      <c r="C21" s="37"/>
      <c r="D21" s="37"/>
      <c r="E21" s="32"/>
      <c r="F21" s="32"/>
      <c r="G21" s="32"/>
      <c r="H21" s="32"/>
      <c r="I21" s="32"/>
      <c r="J21" s="35"/>
      <c r="K21" s="32"/>
      <c r="L21" s="36"/>
      <c r="M21" s="5"/>
    </row>
    <row r="22" s="1" customFormat="1" ht="17.6" spans="1:13">
      <c r="A22" s="32"/>
      <c r="B22" s="32"/>
      <c r="C22" s="37"/>
      <c r="D22" s="37"/>
      <c r="E22" s="37"/>
      <c r="F22" s="37"/>
      <c r="G22" s="32"/>
      <c r="H22" s="32"/>
      <c r="I22" s="37"/>
      <c r="J22" s="32"/>
      <c r="K22" s="37"/>
      <c r="L22" s="38"/>
      <c r="M22" s="5"/>
    </row>
    <row r="23" s="1" customFormat="1" ht="17.6" spans="1:13">
      <c r="A23" s="32"/>
      <c r="B23" s="32"/>
      <c r="C23" s="37"/>
      <c r="D23" s="37"/>
      <c r="E23" s="37"/>
      <c r="F23" s="37"/>
      <c r="G23" s="32"/>
      <c r="H23" s="32"/>
      <c r="I23" s="37"/>
      <c r="J23" s="32"/>
      <c r="K23" s="37"/>
      <c r="L23" s="38"/>
      <c r="M23" s="5"/>
    </row>
    <row r="24" s="1" customFormat="1" ht="17.6" spans="1:13">
      <c r="A24" s="39" t="s">
        <v>29</v>
      </c>
      <c r="B24" s="40"/>
      <c r="C24" s="40"/>
      <c r="D24" s="40"/>
      <c r="E24" s="41"/>
      <c r="F24" s="42"/>
      <c r="G24" s="36"/>
      <c r="H24" s="43"/>
      <c r="I24" s="43"/>
      <c r="J24" s="43"/>
      <c r="K24" s="43"/>
      <c r="L24" s="44"/>
      <c r="M24" s="5"/>
    </row>
  </sheetData>
  <mergeCells count="9">
    <mergeCell ref="A1:L1"/>
    <mergeCell ref="D2:F2"/>
    <mergeCell ref="G2:K2"/>
    <mergeCell ref="A24:E24"/>
    <mergeCell ref="G24:L24"/>
    <mergeCell ref="A2:A3"/>
    <mergeCell ref="B2:B3"/>
    <mergeCell ref="C2:C3"/>
    <mergeCell ref="L2:L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Jessie</cp:lastModifiedBy>
  <dcterms:created xsi:type="dcterms:W3CDTF">2026-08-27T23:04:00Z</dcterms:created>
  <dcterms:modified xsi:type="dcterms:W3CDTF">2026-10-13T11:40:33Z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9A242D0511B5F673DCE18F6ACFA22E1A_42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