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atebook gt14\Desktop\"/>
    </mc:Choice>
  </mc:AlternateContent>
  <xr:revisionPtr revIDLastSave="0" documentId="8_{C1C30663-D776-44A3-BA84-D906F799DB88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G5" i="1"/>
  <c r="G6" i="1"/>
  <c r="G7" i="1"/>
  <c r="G8" i="1"/>
  <c r="G9" i="1"/>
  <c r="G10" i="1"/>
  <c r="G4" i="1"/>
</calcChain>
</file>

<file path=xl/sharedStrings.xml><?xml version="1.0" encoding="utf-8"?>
<sst xmlns="http://schemas.openxmlformats.org/spreadsheetml/2006/main" count="49" uniqueCount="31">
  <si>
    <t>大项目名称</t>
  </si>
  <si>
    <t>整体预算金额</t>
  </si>
  <si>
    <t>国拨资金预算金额</t>
  </si>
  <si>
    <t>国拨资金已支付明细（已签合同）</t>
  </si>
  <si>
    <t>国拨资金未支付金额（未签合同）</t>
  </si>
  <si>
    <t>贷款资金拟支付明细</t>
  </si>
  <si>
    <t>设备名称</t>
  </si>
  <si>
    <t>合同金额</t>
  </si>
  <si>
    <t>已支付金额</t>
  </si>
  <si>
    <t>未支付金额</t>
  </si>
  <si>
    <t>设备名称（如有）</t>
  </si>
  <si>
    <t>预算金额（如有）</t>
  </si>
  <si>
    <t>合同金额（如有）</t>
  </si>
  <si>
    <t>LK</t>
    <phoneticPr fontId="1" type="noConversion"/>
  </si>
  <si>
    <t>光学主镜</t>
  </si>
  <si>
    <t>临近空间探测雷达六自由度控制系统</t>
  </si>
  <si>
    <t>临空大数据智能分析系统</t>
    <phoneticPr fontId="3" type="noConversion"/>
  </si>
  <si>
    <t>高精度电磁探测信号处理系统</t>
  </si>
  <si>
    <t>臭氧探测激光雷达</t>
    <phoneticPr fontId="3" type="noConversion"/>
  </si>
  <si>
    <t>气象要素探测激光雷达系统</t>
    <phoneticPr fontId="3" type="noConversion"/>
  </si>
  <si>
    <t>小型自由空间探测模块</t>
  </si>
  <si>
    <t>光子回波计数及调控模块</t>
  </si>
  <si>
    <t>激光雷达光学镀膜系统</t>
  </si>
  <si>
    <t>主镜筒机电结构</t>
  </si>
  <si>
    <t>拼接基座及外框架</t>
  </si>
  <si>
    <t>钠原子探测激光雷达</t>
  </si>
  <si>
    <t>临空高精度激光泵浦电磁探测系统</t>
  </si>
  <si>
    <t>临近空间自由基分析仪</t>
  </si>
  <si>
    <t>多要素校准光源模块</t>
  </si>
  <si>
    <t>激光共聚焦成像系统</t>
  </si>
  <si>
    <t>临空探测雷达地面实验监测与控制系统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</si>
</sst>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6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5" xfId="0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4" fillId="3" borderId="6" xfId="0" applyFont="1" applyFill="1" applyBorder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4" fillId="0" borderId="6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Normal="100" workbookViewId="0">
      <selection activeCell="D25" sqref="D25"/>
    </sheetView>
  </sheetViews>
  <sheetFormatPr defaultColWidth="9" defaultRowHeight="13.5" x14ac:dyDescent="0.3"/>
  <cols>
    <col min="1" max="1" width="11.33203125" customWidth="1"/>
    <col min="2" max="2" width="13.3984375" customWidth="1"/>
    <col min="3" max="3" width="17.73046875" customWidth="1"/>
    <col min="4" max="4" width="31.6640625" customWidth="1"/>
    <col min="6" max="8" width="19.9296875" customWidth="1"/>
    <col min="9" max="9" width="17.73046875" customWidth="1"/>
    <col min="10" max="10" width="19.9296875" customWidth="1"/>
    <col min="11" max="11" width="17.73046875" customWidth="1"/>
  </cols>
  <sheetData>
    <row r="1" spans="1:11" x14ac:dyDescent="0.3">
      <c r="A1" s="6" t="s">
        <v>0</v>
      </c>
      <c r="B1" s="6" t="s">
        <v>1</v>
      </c>
      <c r="C1" s="6" t="s">
        <v>2</v>
      </c>
      <c r="D1" s="2" t="s">
        <v>3</v>
      </c>
      <c r="E1" s="3"/>
      <c r="F1" s="3"/>
      <c r="G1" s="3"/>
      <c r="H1" s="4" t="s">
        <v>4</v>
      </c>
      <c r="I1" s="5"/>
      <c r="J1" s="4" t="s">
        <v>5</v>
      </c>
      <c r="K1" s="5"/>
    </row>
    <row r="2" spans="1:11" x14ac:dyDescent="0.3">
      <c r="A2" s="7"/>
      <c r="B2" s="7"/>
      <c r="C2" s="7"/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10</v>
      </c>
      <c r="K2" s="1" t="s">
        <v>12</v>
      </c>
    </row>
    <row r="3" spans="1:11" ht="15.75" x14ac:dyDescent="0.3">
      <c r="A3" s="11" t="s">
        <v>13</v>
      </c>
      <c r="B3" s="10">
        <v>5100</v>
      </c>
      <c r="C3" s="10">
        <v>2550</v>
      </c>
      <c r="D3" s="10" t="s">
        <v>14</v>
      </c>
      <c r="E3" s="10">
        <v>833</v>
      </c>
      <c r="F3" s="10">
        <v>406.55</v>
      </c>
      <c r="G3" s="10">
        <v>69.45</v>
      </c>
      <c r="H3" s="10"/>
      <c r="I3" s="10"/>
      <c r="J3" s="10" t="s">
        <v>14</v>
      </c>
      <c r="K3" s="12">
        <v>833</v>
      </c>
    </row>
    <row r="4" spans="1:11" s="14" customFormat="1" ht="15.75" x14ac:dyDescent="0.3">
      <c r="A4" s="13" t="s">
        <v>13</v>
      </c>
      <c r="B4" s="14">
        <v>5100</v>
      </c>
      <c r="C4" s="14">
        <v>2550</v>
      </c>
      <c r="D4" s="14" t="s">
        <v>23</v>
      </c>
      <c r="E4" s="14">
        <v>327.25</v>
      </c>
      <c r="F4" s="14">
        <v>59.29</v>
      </c>
      <c r="G4" s="14">
        <f>E4-F4</f>
        <v>267.95999999999998</v>
      </c>
      <c r="K4" s="15"/>
    </row>
    <row r="5" spans="1:11" s="14" customFormat="1" ht="15.75" x14ac:dyDescent="0.3">
      <c r="A5" s="13" t="s">
        <v>13</v>
      </c>
      <c r="B5" s="14">
        <v>5100</v>
      </c>
      <c r="C5" s="14">
        <v>2550</v>
      </c>
      <c r="D5" s="14" t="s">
        <v>24</v>
      </c>
      <c r="E5" s="14">
        <v>29.75</v>
      </c>
      <c r="F5" s="14">
        <v>10.16</v>
      </c>
      <c r="G5" s="14">
        <f t="shared" ref="G5:G11" si="0">E5-F5</f>
        <v>19.59</v>
      </c>
      <c r="K5" s="15"/>
    </row>
    <row r="6" spans="1:11" x14ac:dyDescent="0.3">
      <c r="A6" s="13" t="s">
        <v>13</v>
      </c>
      <c r="B6" s="14">
        <v>5100</v>
      </c>
      <c r="C6" s="14">
        <v>2550</v>
      </c>
      <c r="D6" s="14" t="s">
        <v>25</v>
      </c>
      <c r="E6" s="14">
        <v>780</v>
      </c>
      <c r="F6" s="14">
        <v>312</v>
      </c>
      <c r="G6" s="14">
        <f t="shared" si="0"/>
        <v>468</v>
      </c>
    </row>
    <row r="7" spans="1:11" x14ac:dyDescent="0.3">
      <c r="A7" s="13" t="s">
        <v>13</v>
      </c>
      <c r="B7" s="14">
        <v>5100</v>
      </c>
      <c r="C7" s="14">
        <v>2550</v>
      </c>
      <c r="D7" s="14" t="s">
        <v>26</v>
      </c>
      <c r="E7" s="14">
        <v>290</v>
      </c>
      <c r="F7" s="14">
        <v>116</v>
      </c>
      <c r="G7" s="14">
        <f t="shared" si="0"/>
        <v>174</v>
      </c>
    </row>
    <row r="8" spans="1:11" x14ac:dyDescent="0.3">
      <c r="A8" s="13" t="s">
        <v>13</v>
      </c>
      <c r="B8" s="14">
        <v>5100</v>
      </c>
      <c r="C8" s="14">
        <v>2550</v>
      </c>
      <c r="D8" s="14" t="s">
        <v>27</v>
      </c>
      <c r="E8" s="14">
        <v>229.8</v>
      </c>
      <c r="F8" s="14">
        <v>229.8</v>
      </c>
      <c r="G8" s="14">
        <f t="shared" si="0"/>
        <v>0</v>
      </c>
    </row>
    <row r="9" spans="1:11" x14ac:dyDescent="0.3">
      <c r="A9" s="13" t="s">
        <v>13</v>
      </c>
      <c r="B9" s="14">
        <v>5100</v>
      </c>
      <c r="C9" s="14">
        <v>2550</v>
      </c>
      <c r="D9" s="14" t="s">
        <v>28</v>
      </c>
      <c r="E9" s="14">
        <v>159.80000000000001</v>
      </c>
      <c r="F9" s="14">
        <v>159.80000000000001</v>
      </c>
      <c r="G9" s="14">
        <f t="shared" si="0"/>
        <v>0</v>
      </c>
    </row>
    <row r="10" spans="1:11" x14ac:dyDescent="0.3">
      <c r="A10" s="13" t="s">
        <v>13</v>
      </c>
      <c r="B10" s="14">
        <v>5100</v>
      </c>
      <c r="C10" s="14">
        <v>2550</v>
      </c>
      <c r="D10" s="14" t="s">
        <v>29</v>
      </c>
      <c r="E10" s="14">
        <v>127.57</v>
      </c>
      <c r="F10" s="14">
        <v>127.57</v>
      </c>
      <c r="G10" s="14">
        <f t="shared" si="0"/>
        <v>0</v>
      </c>
    </row>
    <row r="11" spans="1:11" x14ac:dyDescent="0.3">
      <c r="A11" s="13" t="s">
        <v>13</v>
      </c>
      <c r="B11" s="14">
        <v>5100</v>
      </c>
      <c r="C11" s="14">
        <v>2550</v>
      </c>
      <c r="D11" t="s">
        <v>30</v>
      </c>
      <c r="E11" s="14">
        <v>99.5</v>
      </c>
      <c r="F11" s="14">
        <v>0</v>
      </c>
      <c r="G11" s="14">
        <f t="shared" si="0"/>
        <v>99.5</v>
      </c>
    </row>
    <row r="12" spans="1:11" x14ac:dyDescent="0.3">
      <c r="A12" s="13" t="s">
        <v>13</v>
      </c>
      <c r="B12" s="14">
        <v>5100</v>
      </c>
      <c r="C12" s="14">
        <v>2550</v>
      </c>
      <c r="J12" t="s">
        <v>15</v>
      </c>
      <c r="K12" s="8">
        <v>160</v>
      </c>
    </row>
    <row r="13" spans="1:11" x14ac:dyDescent="0.3">
      <c r="A13" s="13" t="s">
        <v>13</v>
      </c>
      <c r="B13" s="14">
        <v>5100</v>
      </c>
      <c r="C13" s="14">
        <v>2550</v>
      </c>
      <c r="J13" t="s">
        <v>16</v>
      </c>
      <c r="K13" s="8">
        <v>240</v>
      </c>
    </row>
    <row r="14" spans="1:11" x14ac:dyDescent="0.3">
      <c r="A14" s="13" t="s">
        <v>13</v>
      </c>
      <c r="B14" s="14">
        <v>5100</v>
      </c>
      <c r="C14" s="14">
        <v>2550</v>
      </c>
      <c r="J14" t="s">
        <v>17</v>
      </c>
      <c r="K14" s="9">
        <v>128</v>
      </c>
    </row>
    <row r="15" spans="1:11" x14ac:dyDescent="0.3">
      <c r="A15" s="13" t="s">
        <v>13</v>
      </c>
      <c r="B15" s="14">
        <v>5100</v>
      </c>
      <c r="C15" s="14">
        <v>2550</v>
      </c>
      <c r="J15" t="s">
        <v>18</v>
      </c>
      <c r="K15" s="8">
        <v>540</v>
      </c>
    </row>
    <row r="16" spans="1:11" x14ac:dyDescent="0.3">
      <c r="A16" s="13" t="s">
        <v>13</v>
      </c>
      <c r="B16" s="14">
        <v>5100</v>
      </c>
      <c r="C16" s="14">
        <v>2550</v>
      </c>
      <c r="J16" t="s">
        <v>19</v>
      </c>
      <c r="K16" s="8">
        <v>720</v>
      </c>
    </row>
    <row r="17" spans="1:11" x14ac:dyDescent="0.3">
      <c r="A17" s="13" t="s">
        <v>13</v>
      </c>
      <c r="B17" s="14">
        <v>5100</v>
      </c>
      <c r="C17" s="14">
        <v>2550</v>
      </c>
      <c r="J17" t="s">
        <v>20</v>
      </c>
      <c r="K17" s="8">
        <v>52</v>
      </c>
    </row>
    <row r="18" spans="1:11" x14ac:dyDescent="0.3">
      <c r="A18" s="13" t="s">
        <v>13</v>
      </c>
      <c r="B18" s="14">
        <v>5100</v>
      </c>
      <c r="C18" s="14">
        <v>2550</v>
      </c>
      <c r="J18" t="s">
        <v>21</v>
      </c>
      <c r="K18" s="8">
        <v>108</v>
      </c>
    </row>
    <row r="19" spans="1:11" x14ac:dyDescent="0.3">
      <c r="A19" s="13" t="s">
        <v>13</v>
      </c>
      <c r="B19" s="14">
        <v>5100</v>
      </c>
      <c r="C19" s="14">
        <v>2550</v>
      </c>
      <c r="J19" t="s">
        <v>22</v>
      </c>
      <c r="K19" s="8">
        <v>202</v>
      </c>
    </row>
  </sheetData>
  <mergeCells count="6">
    <mergeCell ref="D1:G1"/>
    <mergeCell ref="H1:I1"/>
    <mergeCell ref="J1:K1"/>
    <mergeCell ref="A1:A2"/>
    <mergeCell ref="B1:B2"/>
    <mergeCell ref="C1:C2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李慧</dc:creator>
  <cp:lastModifiedBy>matebook gt14</cp:lastModifiedBy>
  <dcterms:created xsi:type="dcterms:W3CDTF">2026-06-01T11:04:00Z</dcterms:created>
  <dcterms:modified xsi:type="dcterms:W3CDTF">2026-06-02T12:25:01Z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4C1D31EB8063441B8AB2D99375A36236_13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