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4640"/>
  </bookViews>
  <sheets>
    <sheet name="汇总表" sheetId="1" r:id="rId1"/>
    <sheet name="车辆" sheetId="2" r:id="rId2"/>
    <sheet name="设备" sheetId="3" r:id="rId3"/>
    <sheet name="房屋" sheetId="4" r:id="rId4"/>
    <sheet name="土地"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<sst xmlns="http://schemas.openxmlformats.org/spreadsheetml/2006/main" count="122" uniqueCount="75">
  <si>
    <t>附件1:</t>
  </si>
  <si>
    <t>中央行政事业单位新增资产配置预算表</t>
  </si>
  <si>
    <t>序号</t>
  </si>
  <si>
    <t>单位名称</t>
  </si>
  <si>
    <t>单位代码</t>
  </si>
  <si>
    <t>资产类型
（车辆/房屋/土地/设备）</t>
  </si>
  <si>
    <t>2026年新增资产数（补报）</t>
  </si>
  <si>
    <t>车辆（辆/台）</t>
  </si>
  <si>
    <t>租用土地
（平方米）</t>
  </si>
  <si>
    <t>房屋（平方米）</t>
  </si>
  <si>
    <t>设备（台/套）</t>
  </si>
  <si>
    <t>小计</t>
  </si>
  <si>
    <t>轿车</t>
  </si>
  <si>
    <t>越野汽车</t>
  </si>
  <si>
    <t>小型载客汽车</t>
  </si>
  <si>
    <t>大中型载客汽车</t>
  </si>
  <si>
    <t>其他汽车</t>
  </si>
  <si>
    <t>租用办公用房</t>
  </si>
  <si>
    <t>租用业务用房</t>
  </si>
  <si>
    <t>单价100万以上的设备</t>
  </si>
  <si>
    <t>北京理工大学</t>
  </si>
  <si>
    <t>124202</t>
  </si>
  <si>
    <t>设备</t>
  </si>
  <si>
    <t>附件2:</t>
  </si>
  <si>
    <t>中央行政事业单位新增资产配置预算明细表（车辆）</t>
  </si>
  <si>
    <t>车辆用途</t>
  </si>
  <si>
    <t>二下批复数</t>
  </si>
  <si>
    <t>申请调整增加情况</t>
  </si>
  <si>
    <t>金额
（万元）</t>
  </si>
  <si>
    <t>政府采购预算金额
（万元）</t>
  </si>
  <si>
    <t>资金性质</t>
  </si>
  <si>
    <t>年初未编报新增资产配置预算的原因</t>
  </si>
  <si>
    <t>调整理由</t>
  </si>
  <si>
    <t>其他车辆</t>
  </si>
  <si>
    <t>事业单位：机要通信、应急保障、业务用车、特种专业技术用车、其他用车</t>
  </si>
  <si>
    <t>附件3：</t>
  </si>
  <si>
    <t>中央行政事业单位新增资产配置预算明细表（设备）</t>
  </si>
  <si>
    <t>设备名称</t>
  </si>
  <si>
    <t>设备单价（万元）</t>
  </si>
  <si>
    <t>拟购置数量</t>
  </si>
  <si>
    <t>设备总价</t>
  </si>
  <si>
    <t>项目名称
（二级项目）</t>
  </si>
  <si>
    <t>项目代码</t>
  </si>
  <si>
    <t>设备主要规格参数</t>
  </si>
  <si>
    <t>购置设备的必要性（设备存量数、详细说明设备应用场景、拟通过购置设备解决的问题、实现的目标及意义）</t>
  </si>
  <si>
    <t>主镜筒机电结构</t>
  </si>
  <si>
    <t>临近空间全高程环境多要素激光雷达探测平台</t>
  </si>
  <si>
    <t>102124262020000000087</t>
  </si>
  <si>
    <t>财政拨款资金</t>
  </si>
  <si>
    <t>年中追加预算</t>
  </si>
  <si>
    <t>①主镜筒结构满足临近空间激光雷达光机系统集成要求;②具备高稳定性方位、俯仰运动与精密定位能力;③支持光学组件安装、密封防护和远程控制</t>
  </si>
  <si>
    <t>为建设临近空间全高程环境多要素激光雷达探测平台，开展多要素激光雷达综合探测工作，北京理工大学目前缺少满足大口径光机系统集成、稳定指向和长期运行需求的主镜筒机电结构，无法满足平台建设需求，特此申请追加1台（套）100万元及以上设备配置预算，所需经费均从临近空间全高程环境多要素激光雷达探测平台项目列支。</t>
  </si>
  <si>
    <t>钠原子探测激光雷达</t>
  </si>
  <si>
    <t>①激光工作波长589nm;②探测高度覆盖中间层顶及低热层钠层;③具备钠原子密度、温度及风场高时空分辨率探测能力</t>
  </si>
  <si>
    <t>为建设临近空间全高程环境多要素激光雷达探测平台，开展临近空间钠层密度、温度及风场探测工作，北京理工大学目前缺少具备钠原子共振荧光探测能力的专用激光雷达，无法满足平台多要素协同探测需求，特此申请追加1台（套）100万元及以上设备配置预算，所需经费均从临近空间全高程环境多要素激光雷达探测平台项目列支。</t>
  </si>
  <si>
    <t>临空高精度激光泵浦电磁探测系统</t>
  </si>
  <si>
    <t>①泵浦激光频率连续可调并具备长期稳频能力;②电磁场幅相探测具备高灵敏度和高动态范围;③支持临近空间电磁环境多参数联合测量</t>
  </si>
  <si>
    <t>为建设临近空间全高程环境多要素激光雷达探测平台，开展临近空间电磁环境高精度感知工作，北京理工大学目前缺少激光泵浦高灵敏电磁探测设备，无法满足复杂临空环境下电磁参数联合测量需求，特此申请追加1台（套）100万元及以上设备配置预算，所需经费均从临近空间全高程环境多要素激光雷达探测平台项目列支。</t>
  </si>
  <si>
    <t>附件4</t>
  </si>
  <si>
    <t>中央行政事业单位新增资产配置预算明细表（房屋）</t>
  </si>
  <si>
    <t>租用房屋事项名称</t>
  </si>
  <si>
    <t>租用房屋类别
（办公用房/业务用房）</t>
  </si>
  <si>
    <t>是否续租</t>
  </si>
  <si>
    <t>面积（平方米）</t>
  </si>
  <si>
    <t>租用期限（年）</t>
  </si>
  <si>
    <t>总金额</t>
  </si>
  <si>
    <t>地点</t>
  </si>
  <si>
    <t>租用房屋必要性</t>
  </si>
  <si>
    <t>附件5</t>
  </si>
  <si>
    <t>中央行政事业单位新增资产配置预算明细表（土地）</t>
  </si>
  <si>
    <t>租用土地事项</t>
  </si>
  <si>
    <t>面积</t>
  </si>
  <si>
    <t>租用期限</t>
  </si>
  <si>
    <t>项目名称</t>
  </si>
  <si>
    <t>租用土地必要性</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</si>
</sst>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2"/>
      <name val="宋体"/>
      <charset val="134"/>
    </font>
    <font>
      <sz val="14"/>
      <color theme="1"/>
      <name val="黑体"/>
      <charset val="134"/>
    </font>
    <font>
      <sz val="11"/>
      <color theme="1"/>
      <name val="宋体"/>
      <charset val="134"/>
    </font>
    <font>
      <sz val="18"/>
      <color theme="1"/>
      <name val="黑体"/>
      <charset val="134"/>
    </font>
    <font>
      <sz val="11"/>
      <color theme="1"/>
      <name val="黑体"/>
      <charset val="134"/>
    </font>
    <font>
      <sz val="16"/>
      <color theme="1"/>
      <name val="黑体"/>
      <charset val="134"/>
    </font>
    <font>
      <sz val="22"/>
      <color theme="1"/>
      <name val="黑体"/>
      <charset val="134"/>
    </font>
    <font>
      <sz val="11"/>
      <color rgb="FF0000FF"/>
      <name val="宋体"/>
      <charset val="134"/>
    </font>
    <font>
      <sz val="11"/>
      <color rgb="FF800080"/>
      <name val="宋体"/>
      <charset val="134"/>
    </font>
    <font>
      <sz val="11"/>
      <color indexed="8"/>
      <name val="宋体"/>
      <charset val="134"/>
    </font>
    <font>
      <sz val="11"/>
      <color rgb="FFFF0000"/>
      <name val="宋体"/>
      <charset val="134"/>
    </font>
    <font>
      <b/>
      <sz val="18"/>
      <color theme="3"/>
      <name val="宋体"/>
      <charset val="134"/>
    </font>
    <font>
      <i/>
      <sz val="11"/>
      <color rgb="FF7F7F7F"/>
      <name val="宋体"/>
      <charset val="134"/>
    </font>
    <font>
      <b/>
      <sz val="15"/>
      <color theme="3"/>
      <name val="宋体"/>
      <charset val="134"/>
    </font>
    <font>
      <b/>
      <sz val="13"/>
      <color theme="3"/>
      <name val="宋体"/>
      <charset val="134"/>
    </font>
    <font>
      <b/>
      <sz val="11"/>
      <color theme="3"/>
      <name val="宋体"/>
      <charset val="134"/>
    </font>
    <font>
      <sz val="11"/>
      <color rgb="FF3F3F76"/>
      <name val="宋体"/>
      <charset val="134"/>
    </font>
    <font>
      <b/>
      <sz val="11"/>
      <color rgb="FF3F3F3F"/>
      <name val="宋体"/>
      <charset val="134"/>
    </font>
    <font>
      <b/>
      <sz val="11"/>
      <color rgb="FFFA7D00"/>
      <name val="宋体"/>
      <charset val="134"/>
    </font>
    <font>
      <b/>
      <sz val="11"/>
      <color rgb="FFFFFFFF"/>
      <name val="宋体"/>
      <charset val="134"/>
    </font>
    <font>
      <sz val="11"/>
      <color rgb="FFFA7D00"/>
      <name val="宋体"/>
      <charset val="134"/>
    </font>
    <font>
      <b/>
      <sz val="11"/>
      <color theme="1"/>
      <name val="宋体"/>
      <charset val="134"/>
    </font>
    <font>
      <sz val="11"/>
      <color rgb="FF006100"/>
      <name val="宋体"/>
      <charset val="134"/>
    </font>
    <font>
      <sz val="11"/>
      <color rgb="FF9C0006"/>
      <name val="宋体"/>
      <charset val="134"/>
    </font>
    <font>
      <sz val="11"/>
      <color rgb="FF9C6500"/>
      <name val="宋体"/>
      <charset val="134"/>
    </font>
    <font>
      <sz val="11"/>
      <color theme="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2" borderId="8"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9" applyNumberFormat="0" applyFill="0" applyAlignment="0" applyProtection="0">
      <alignment vertical="center"/>
    </xf>
    <xf numFmtId="0" fontId="14" fillId="0" borderId="9" applyNumberFormat="0" applyFill="0" applyAlignment="0" applyProtection="0">
      <alignment vertical="center"/>
    </xf>
    <xf numFmtId="0" fontId="15" fillId="0" borderId="10" applyNumberFormat="0" applyFill="0" applyAlignment="0" applyProtection="0">
      <alignment vertical="center"/>
    </xf>
    <xf numFmtId="0" fontId="15" fillId="0" borderId="0" applyNumberFormat="0" applyFill="0" applyBorder="0" applyAlignment="0" applyProtection="0">
      <alignment vertical="center"/>
    </xf>
    <xf numFmtId="0" fontId="16" fillId="3" borderId="11" applyNumberFormat="0" applyAlignment="0" applyProtection="0">
      <alignment vertical="center"/>
    </xf>
    <xf numFmtId="0" fontId="17" fillId="4" borderId="12" applyNumberFormat="0" applyAlignment="0" applyProtection="0">
      <alignment vertical="center"/>
    </xf>
    <xf numFmtId="0" fontId="18" fillId="4" borderId="11" applyNumberFormat="0" applyAlignment="0" applyProtection="0">
      <alignment vertical="center"/>
    </xf>
    <xf numFmtId="0" fontId="19" fillId="5" borderId="13" applyNumberFormat="0" applyAlignment="0" applyProtection="0">
      <alignment vertical="center"/>
    </xf>
    <xf numFmtId="0" fontId="20" fillId="0" borderId="14" applyNumberFormat="0" applyFill="0" applyAlignment="0" applyProtection="0">
      <alignment vertical="center"/>
    </xf>
    <xf numFmtId="0" fontId="21" fillId="0" borderId="15" applyNumberFormat="0" applyFill="0" applyAlignment="0" applyProtection="0">
      <alignment vertical="center"/>
    </xf>
    <xf numFmtId="0" fontId="22" fillId="6" borderId="0" applyNumberFormat="0" applyBorder="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25" fillId="32" borderId="0" applyNumberFormat="0" applyBorder="0" applyAlignment="0" applyProtection="0">
      <alignment vertical="center"/>
    </xf>
  </cellStyleXfs>
  <cellXfs count="33">
    <xf numFmtId="0" fontId="0" fillId="0" borderId="0" xfId="0">
      <alignment vertical="center"/>
    </xf>
    <xf numFmtId="0" fontId="1" fillId="0" borderId="0" xfId="0" applyFont="1" applyFill="1" applyBorder="1" applyAlignment="1">
      <alignment vertical="center"/>
    </xf>
    <xf numFmtId="0" fontId="2" fillId="0" borderId="0" xfId="0" applyFont="1" applyFill="1" applyBorder="1" applyAlignment="1">
      <alignment vertical="center"/>
    </xf>
    <xf numFmtId="0" fontId="3" fillId="0" borderId="0" xfId="0" applyFont="1" applyFill="1" applyBorder="1" applyAlignment="1">
      <alignment horizontal="center" vertical="center"/>
    </xf>
    <xf numFmtId="0" fontId="4" fillId="0" borderId="1" xfId="0" applyFont="1" applyFill="1" applyBorder="1" applyAlignment="1">
      <alignment horizontal="center" vertical="center"/>
    </xf>
    <xf numFmtId="0" fontId="4" fillId="0" borderId="1" xfId="0" applyFont="1" applyFill="1" applyBorder="1" applyAlignment="1">
      <alignment horizontal="center" vertical="center" wrapText="1"/>
    </xf>
    <xf numFmtId="0" fontId="0" fillId="0" borderId="1" xfId="0" applyBorder="1">
      <alignment vertical="center"/>
    </xf>
    <xf numFmtId="0" fontId="5" fillId="0" borderId="0" xfId="0" applyFont="1" applyFill="1" applyBorder="1" applyAlignment="1">
      <alignment vertical="center"/>
    </xf>
    <xf numFmtId="0" fontId="4" fillId="0" borderId="1" xfId="0" applyFont="1" applyFill="1" applyBorder="1" applyAlignment="1">
      <alignment vertical="center"/>
    </xf>
    <xf numFmtId="0" fontId="0" fillId="0" borderId="2" xfId="0" applyNumberFormat="1" applyFont="1" applyFill="1" applyBorder="1" applyAlignment="1">
      <alignment horizontal="center" vertical="center" wrapText="1"/>
    </xf>
    <xf numFmtId="49" fontId="0" fillId="0" borderId="2" xfId="0" applyNumberFormat="1" applyFont="1" applyFill="1" applyBorder="1" applyAlignment="1">
      <alignment horizontal="center" vertical="center" wrapText="1"/>
    </xf>
    <xf numFmtId="0" fontId="0" fillId="0" borderId="2" xfId="0" applyNumberFormat="1" applyFont="1" applyFill="1" applyBorder="1" applyAlignment="1">
      <alignment horizontal="left" vertical="center" wrapText="1"/>
    </xf>
    <xf numFmtId="2" fontId="0" fillId="0" borderId="2" xfId="0" applyNumberFormat="1" applyFont="1" applyFill="1" applyBorder="1" applyAlignment="1">
      <alignment horizontal="center" vertical="center" wrapText="1"/>
    </xf>
    <xf numFmtId="1" fontId="0" fillId="0" borderId="2" xfId="0" applyNumberFormat="1" applyFont="1" applyFill="1" applyBorder="1" applyAlignment="1">
      <alignment horizontal="center" vertical="center" wrapText="1"/>
    </xf>
    <xf numFmtId="49" fontId="0" fillId="0" borderId="2" xfId="0" applyNumberFormat="1" applyFont="1" applyFill="1" applyBorder="1" applyAlignment="1">
      <alignment horizontal="left" vertical="center" wrapText="1"/>
    </xf>
    <xf numFmtId="0" fontId="6" fillId="0" borderId="0" xfId="0" applyFont="1" applyFill="1" applyBorder="1" applyAlignment="1">
      <alignment vertical="center"/>
    </xf>
    <xf numFmtId="0" fontId="4" fillId="0" borderId="3" xfId="0" applyFont="1" applyFill="1" applyBorder="1" applyAlignment="1">
      <alignment horizontal="center" vertical="center" wrapText="1"/>
    </xf>
    <xf numFmtId="0" fontId="4" fillId="0" borderId="3" xfId="0" applyFont="1" applyFill="1" applyBorder="1" applyAlignment="1">
      <alignment horizontal="center" vertical="center"/>
    </xf>
    <xf numFmtId="0" fontId="4" fillId="0" borderId="4" xfId="0" applyFont="1" applyFill="1" applyBorder="1" applyAlignment="1">
      <alignment horizontal="center" vertical="center"/>
    </xf>
    <xf numFmtId="0" fontId="4" fillId="0" borderId="4" xfId="0" applyFont="1" applyFill="1" applyBorder="1" applyAlignment="1">
      <alignment horizontal="center" vertical="center" wrapText="1"/>
    </xf>
    <xf numFmtId="0" fontId="0" fillId="0" borderId="1" xfId="0" applyBorder="1" applyAlignment="1">
      <alignment horizontal="lef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wrapText="1"/>
    </xf>
    <xf numFmtId="0" fontId="3" fillId="0" borderId="0" xfId="0" applyFont="1" applyFill="1" applyBorder="1" applyAlignment="1">
      <alignment vertical="center"/>
    </xf>
    <xf numFmtId="0" fontId="2" fillId="0" borderId="0" xfId="0" applyFont="1" applyFill="1" applyBorder="1" applyAlignment="1">
      <alignment vertical="center" wrapText="1"/>
    </xf>
    <xf numFmtId="0" fontId="6" fillId="0" borderId="0" xfId="0" applyFont="1" applyFill="1" applyBorder="1" applyAlignment="1">
      <alignment horizontal="center" vertical="center"/>
    </xf>
    <xf numFmtId="0" fontId="6" fillId="0" borderId="0" xfId="0" applyFont="1" applyFill="1" applyBorder="1" applyAlignment="1">
      <alignment horizontal="center" vertical="center" wrapText="1"/>
    </xf>
    <xf numFmtId="0" fontId="4" fillId="0" borderId="5" xfId="0" applyFont="1" applyFill="1" applyBorder="1" applyAlignment="1">
      <alignment horizontal="center" vertical="center" wrapText="1"/>
    </xf>
    <xf numFmtId="0" fontId="4" fillId="0" borderId="6" xfId="0" applyFont="1" applyFill="1" applyBorder="1" applyAlignment="1">
      <alignment horizontal="center" vertical="center" wrapText="1"/>
    </xf>
    <xf numFmtId="0" fontId="4" fillId="0" borderId="7" xfId="0" applyFont="1" applyFill="1" applyBorder="1" applyAlignment="1">
      <alignment horizontal="center" vertical="center" wrapText="1"/>
    </xf>
    <xf numFmtId="0" fontId="2" fillId="0" borderId="1" xfId="0" applyNumberFormat="1" applyFont="1" applyFill="1" applyBorder="1" applyAlignment="1">
      <alignment horizontal="center" vertical="center" wrapText="1"/>
    </xf>
    <xf numFmtId="49" fontId="2" fillId="0" borderId="1" xfId="0" applyNumberFormat="1"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6"/>
  <sheetViews>
    <sheetView tabSelected="1" workbookViewId="0">
      <selection activeCell="N12" sqref="N12"/>
    </sheetView>
  </sheetViews>
  <sheetFormatPr defaultColWidth="9" defaultRowHeight="17.6" outlineLevelRow="5"/>
  <cols>
    <col min="1" max="1" width="7.875"/>
    <col min="2" max="2" width="28.375" customWidth="1"/>
    <col min="3" max="3" width="10.375" customWidth="1"/>
    <col min="4" max="10" width="12.8035714285714" customWidth="1"/>
    <col min="11" max="13" width="14.5535714285714" customWidth="1"/>
    <col min="14" max="14" width="12.75" customWidth="1"/>
    <col min="15" max="15" width="12.125" customWidth="1"/>
    <col min="16" max="16" width="11.8214285714286" customWidth="1"/>
  </cols>
  <sheetData>
    <row r="1" ht="26" spans="1:16">
      <c r="A1" s="24" t="s">
        <v>0</v>
      </c>
      <c r="B1" s="25"/>
      <c r="C1" s="2"/>
      <c r="D1" s="2"/>
      <c r="E1" s="2"/>
      <c r="F1" s="2"/>
      <c r="G1" s="2"/>
      <c r="H1" s="2"/>
      <c r="I1" s="2"/>
      <c r="J1" s="2"/>
      <c r="K1" s="2"/>
      <c r="L1" s="2"/>
      <c r="M1" s="2"/>
      <c r="N1" s="2"/>
      <c r="O1" s="2"/>
      <c r="P1" s="2"/>
    </row>
    <row r="2" ht="31.6" spans="1:16">
      <c r="A2" s="26" t="s">
        <v>1</v>
      </c>
      <c r="B2" s="27"/>
      <c r="C2" s="26"/>
      <c r="D2" s="26"/>
      <c r="E2" s="26"/>
      <c r="F2" s="26"/>
      <c r="G2" s="26"/>
      <c r="H2" s="26"/>
      <c r="I2" s="26"/>
      <c r="J2" s="26"/>
      <c r="K2" s="26"/>
      <c r="L2" s="26"/>
      <c r="M2" s="26"/>
      <c r="N2" s="26"/>
      <c r="O2" s="26"/>
      <c r="P2" s="26"/>
    </row>
    <row r="3" spans="1:16">
      <c r="A3" s="5" t="s">
        <v>2</v>
      </c>
      <c r="B3" s="5" t="s">
        <v>3</v>
      </c>
      <c r="C3" s="5" t="s">
        <v>4</v>
      </c>
      <c r="D3" s="5" t="s">
        <v>5</v>
      </c>
      <c r="E3" s="28" t="s">
        <v>6</v>
      </c>
      <c r="F3" s="29"/>
      <c r="G3" s="29"/>
      <c r="H3" s="29"/>
      <c r="I3" s="29"/>
      <c r="J3" s="29"/>
      <c r="K3" s="29"/>
      <c r="L3" s="29"/>
      <c r="M3" s="29"/>
      <c r="N3" s="29"/>
      <c r="O3" s="29"/>
      <c r="P3" s="30"/>
    </row>
    <row r="4" spans="1:16">
      <c r="A4" s="5"/>
      <c r="B4" s="5"/>
      <c r="C4" s="5"/>
      <c r="D4" s="5"/>
      <c r="E4" s="28" t="s">
        <v>7</v>
      </c>
      <c r="F4" s="29"/>
      <c r="G4" s="29"/>
      <c r="H4" s="29"/>
      <c r="I4" s="29"/>
      <c r="J4" s="30"/>
      <c r="K4" s="5" t="s">
        <v>8</v>
      </c>
      <c r="L4" s="5" t="s">
        <v>9</v>
      </c>
      <c r="M4" s="5"/>
      <c r="N4" s="5"/>
      <c r="O4" s="5" t="s">
        <v>10</v>
      </c>
      <c r="P4" s="5"/>
    </row>
    <row r="5" ht="34" spans="1:16">
      <c r="A5" s="5"/>
      <c r="B5" s="5"/>
      <c r="C5" s="5"/>
      <c r="D5" s="5"/>
      <c r="E5" s="5" t="s">
        <v>11</v>
      </c>
      <c r="F5" s="5" t="s">
        <v>12</v>
      </c>
      <c r="G5" s="5" t="s">
        <v>13</v>
      </c>
      <c r="H5" s="5" t="s">
        <v>14</v>
      </c>
      <c r="I5" s="5" t="s">
        <v>15</v>
      </c>
      <c r="J5" s="5" t="s">
        <v>16</v>
      </c>
      <c r="K5" s="5"/>
      <c r="L5" s="5" t="s">
        <v>11</v>
      </c>
      <c r="M5" s="5" t="s">
        <v>17</v>
      </c>
      <c r="N5" s="5" t="s">
        <v>18</v>
      </c>
      <c r="O5" s="5" t="s">
        <v>11</v>
      </c>
      <c r="P5" s="5" t="s">
        <v>19</v>
      </c>
    </row>
    <row r="6" ht="96" customHeight="1" spans="1:16">
      <c r="A6" s="31">
        <v>1</v>
      </c>
      <c r="B6" s="31" t="s">
        <v>20</v>
      </c>
      <c r="C6" s="32" t="s">
        <v>21</v>
      </c>
      <c r="D6" s="31" t="s">
        <v>22</v>
      </c>
      <c r="E6" s="31">
        <v>0</v>
      </c>
      <c r="F6" s="31">
        <v>0</v>
      </c>
      <c r="G6" s="31">
        <v>0</v>
      </c>
      <c r="H6" s="31">
        <v>0</v>
      </c>
      <c r="I6" s="31">
        <v>0</v>
      </c>
      <c r="J6" s="31">
        <v>0</v>
      </c>
      <c r="K6" s="31">
        <v>0</v>
      </c>
      <c r="L6" s="31">
        <v>0</v>
      </c>
      <c r="M6" s="31">
        <v>0</v>
      </c>
      <c r="N6" s="31">
        <v>0</v>
      </c>
      <c r="O6" s="31">
        <f>SUM(设备!F4:F6)</f>
        <v>3</v>
      </c>
      <c r="P6" s="31">
        <f>COUNTIF(设备!E4:E6,"&gt;=100")</f>
        <v>3</v>
      </c>
    </row>
  </sheetData>
  <mergeCells count="10">
    <mergeCell ref="A2:P2"/>
    <mergeCell ref="E3:P3"/>
    <mergeCell ref="E4:J4"/>
    <mergeCell ref="L4:N4"/>
    <mergeCell ref="O4:P4"/>
    <mergeCell ref="A3:A5"/>
    <mergeCell ref="B3:B5"/>
    <mergeCell ref="C3:C5"/>
    <mergeCell ref="D3:D5"/>
    <mergeCell ref="K4:K5"/>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7"/>
  <sheetViews>
    <sheetView workbookViewId="0">
      <selection activeCell="A1" sqref="A1"/>
    </sheetView>
  </sheetViews>
  <sheetFormatPr defaultColWidth="9" defaultRowHeight="17.6" outlineLevelRow="6"/>
  <cols>
    <col min="1" max="1" width="7.875"/>
    <col min="2" max="2" width="29" customWidth="1"/>
    <col min="3" max="4" width="16.3035714285714" customWidth="1"/>
    <col min="5" max="18" width="11" customWidth="1"/>
    <col min="19" max="21" width="16.3035714285714" customWidth="1"/>
  </cols>
  <sheetData>
    <row r="1" ht="31.6" spans="1:21">
      <c r="A1" s="15" t="s">
        <v>23</v>
      </c>
      <c r="B1" s="2"/>
      <c r="C1" s="2"/>
      <c r="D1" s="2"/>
      <c r="E1" s="2"/>
      <c r="F1" s="2"/>
      <c r="G1" s="2"/>
      <c r="H1" s="2"/>
      <c r="I1" s="2"/>
      <c r="J1" s="2"/>
      <c r="K1" s="2"/>
      <c r="L1" s="2"/>
      <c r="M1" s="2"/>
      <c r="N1" s="2"/>
      <c r="O1" s="2"/>
      <c r="P1" s="2"/>
      <c r="Q1" s="2"/>
      <c r="R1" s="2"/>
      <c r="S1" s="2"/>
      <c r="T1" s="2"/>
      <c r="U1" s="2"/>
    </row>
    <row r="2" ht="26" spans="1:21">
      <c r="A2" s="3" t="s">
        <v>24</v>
      </c>
      <c r="B2" s="3"/>
      <c r="C2" s="3"/>
      <c r="D2" s="3"/>
      <c r="E2" s="3"/>
      <c r="F2" s="3"/>
      <c r="G2" s="3"/>
      <c r="H2" s="3"/>
      <c r="I2" s="3"/>
      <c r="J2" s="3"/>
      <c r="K2" s="3"/>
      <c r="L2" s="3"/>
      <c r="M2" s="3"/>
      <c r="N2" s="3"/>
      <c r="O2" s="3"/>
      <c r="P2" s="3"/>
      <c r="Q2" s="3"/>
      <c r="R2" s="3"/>
      <c r="S2" s="3"/>
      <c r="T2" s="3"/>
      <c r="U2" s="3"/>
    </row>
    <row r="3" ht="25" customHeight="1" spans="1:21">
      <c r="A3" s="4" t="s">
        <v>2</v>
      </c>
      <c r="B3" s="4" t="s">
        <v>3</v>
      </c>
      <c r="C3" s="4" t="s">
        <v>4</v>
      </c>
      <c r="D3" s="4" t="s">
        <v>25</v>
      </c>
      <c r="E3" s="4" t="s">
        <v>26</v>
      </c>
      <c r="F3" s="4"/>
      <c r="G3" s="4"/>
      <c r="H3" s="4"/>
      <c r="I3" s="4"/>
      <c r="J3" s="4"/>
      <c r="K3" s="4" t="s">
        <v>27</v>
      </c>
      <c r="L3" s="4"/>
      <c r="M3" s="4"/>
      <c r="N3" s="4"/>
      <c r="O3" s="4"/>
      <c r="P3" s="4"/>
      <c r="Q3" s="16" t="s">
        <v>28</v>
      </c>
      <c r="R3" s="16" t="s">
        <v>29</v>
      </c>
      <c r="S3" s="17" t="s">
        <v>30</v>
      </c>
      <c r="T3" s="16" t="s">
        <v>31</v>
      </c>
      <c r="U3" s="4" t="s">
        <v>32</v>
      </c>
    </row>
    <row r="4" ht="37" customHeight="1" spans="1:21">
      <c r="A4" s="4"/>
      <c r="B4" s="4"/>
      <c r="C4" s="4"/>
      <c r="D4" s="4"/>
      <c r="E4" s="5" t="s">
        <v>11</v>
      </c>
      <c r="F4" s="5" t="s">
        <v>12</v>
      </c>
      <c r="G4" s="5" t="s">
        <v>13</v>
      </c>
      <c r="H4" s="5" t="s">
        <v>14</v>
      </c>
      <c r="I4" s="5" t="s">
        <v>15</v>
      </c>
      <c r="J4" s="5" t="s">
        <v>33</v>
      </c>
      <c r="K4" s="5" t="s">
        <v>11</v>
      </c>
      <c r="L4" s="5" t="s">
        <v>12</v>
      </c>
      <c r="M4" s="5" t="s">
        <v>13</v>
      </c>
      <c r="N4" s="5" t="s">
        <v>14</v>
      </c>
      <c r="O4" s="5" t="s">
        <v>15</v>
      </c>
      <c r="P4" s="5" t="s">
        <v>33</v>
      </c>
      <c r="Q4" s="18"/>
      <c r="R4" s="19"/>
      <c r="S4" s="18"/>
      <c r="T4" s="19"/>
      <c r="U4" s="4"/>
    </row>
    <row r="5" ht="175" customHeight="1" spans="1:21">
      <c r="A5" s="6"/>
      <c r="B5" s="6"/>
      <c r="C5" s="20"/>
      <c r="D5" s="6"/>
      <c r="E5" s="21"/>
      <c r="F5" s="21"/>
      <c r="G5" s="21"/>
      <c r="H5" s="21"/>
      <c r="I5" s="21"/>
      <c r="J5" s="21"/>
      <c r="K5" s="21"/>
      <c r="L5" s="21"/>
      <c r="M5" s="21"/>
      <c r="N5" s="21"/>
      <c r="O5" s="21"/>
      <c r="P5" s="21"/>
      <c r="Q5" s="21"/>
      <c r="R5" s="21"/>
      <c r="S5" s="22"/>
      <c r="T5" s="22"/>
      <c r="U5" s="23"/>
    </row>
    <row r="7" spans="1:21">
      <c r="D7" t="s">
        <v>34</v>
      </c>
    </row>
  </sheetData>
  <mergeCells count="12">
    <mergeCell ref="A2:U2"/>
    <mergeCell ref="E3:J3"/>
    <mergeCell ref="K3:P3"/>
    <mergeCell ref="A3:A4"/>
    <mergeCell ref="B3:B4"/>
    <mergeCell ref="C3:C4"/>
    <mergeCell ref="D3:D4"/>
    <mergeCell ref="Q3:Q4"/>
    <mergeCell ref="R3:R4"/>
    <mergeCell ref="S3:S4"/>
    <mergeCell ref="T3:T4"/>
    <mergeCell ref="U3:U4"/>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5"/>
  <sheetViews>
    <sheetView workbookViewId="0">
      <selection activeCell="A1" sqref="A1"/>
    </sheetView>
  </sheetViews>
  <sheetFormatPr defaultColWidth="9" defaultRowHeight="17.6"/>
  <cols>
    <col min="1" max="1" width="9.83928571428571" customWidth="1"/>
    <col min="2" max="2" width="18.25" customWidth="1"/>
    <col min="3" max="3" width="14.5535714285714" customWidth="1"/>
    <col min="4" max="4" width="25" customWidth="1"/>
    <col min="5" max="7" width="14.5535714285714" customWidth="1"/>
    <col min="8" max="8" width="32" customWidth="1"/>
    <col min="9" max="9" width="24" customWidth="1"/>
    <col min="10" max="10" width="14.5535714285714" customWidth="1"/>
    <col min="11" max="11" width="18" customWidth="1"/>
    <col min="12" max="12" width="44" customWidth="1"/>
    <col min="13" max="13" width="70" customWidth="1"/>
  </cols>
  <sheetData>
    <row r="1" ht="23.2" spans="1:13">
      <c r="A1" s="7" t="s">
        <v>35</v>
      </c>
      <c r="B1" s="2"/>
      <c r="C1" s="2"/>
      <c r="D1" s="2"/>
      <c r="E1" s="2"/>
      <c r="F1" s="2"/>
      <c r="G1" s="2"/>
      <c r="H1" s="2"/>
      <c r="I1" s="2"/>
      <c r="J1" s="2"/>
      <c r="K1" s="2"/>
      <c r="L1" s="2"/>
      <c r="M1" s="2"/>
    </row>
    <row r="2" ht="26" spans="1:13">
      <c r="A2" s="3" t="s">
        <v>36</v>
      </c>
      <c r="B2" s="3"/>
      <c r="C2" s="3"/>
      <c r="D2" s="3"/>
      <c r="E2" s="3"/>
      <c r="F2" s="3"/>
      <c r="G2" s="3"/>
      <c r="H2" s="3"/>
      <c r="I2" s="3"/>
      <c r="J2" s="3"/>
      <c r="K2" s="3"/>
      <c r="L2" s="3"/>
      <c r="M2" s="3"/>
    </row>
    <row r="3" ht="34" spans="1:13">
      <c r="A3" s="4" t="s">
        <v>2</v>
      </c>
      <c r="B3" s="4" t="s">
        <v>3</v>
      </c>
      <c r="C3" s="4" t="s">
        <v>4</v>
      </c>
      <c r="D3" s="4" t="s">
        <v>37</v>
      </c>
      <c r="E3" s="8" t="s">
        <v>38</v>
      </c>
      <c r="F3" s="4" t="s">
        <v>39</v>
      </c>
      <c r="G3" s="4" t="s">
        <v>40</v>
      </c>
      <c r="H3" s="5" t="s">
        <v>41</v>
      </c>
      <c r="I3" s="5" t="s">
        <v>42</v>
      </c>
      <c r="J3" s="5" t="s">
        <v>30</v>
      </c>
      <c r="K3" s="5" t="s">
        <v>31</v>
      </c>
      <c r="L3" s="4" t="s">
        <v>43</v>
      </c>
      <c r="M3" s="5" t="s">
        <v>44</v>
      </c>
    </row>
    <row r="4" ht="86" customHeight="1" spans="1:13">
      <c r="A4" s="9">
        <v>1</v>
      </c>
      <c r="B4" s="9" t="s">
        <v>20</v>
      </c>
      <c r="C4" s="10" t="s">
        <v>21</v>
      </c>
      <c r="D4" s="11" t="s">
        <v>45</v>
      </c>
      <c r="E4" s="12">
        <v>327.25</v>
      </c>
      <c r="F4" s="13">
        <v>1</v>
      </c>
      <c r="G4" s="12">
        <f>E4*F4</f>
        <v>327.25</v>
      </c>
      <c r="H4" s="11" t="s">
        <v>46</v>
      </c>
      <c r="I4" s="14" t="s">
        <v>47</v>
      </c>
      <c r="J4" s="11" t="s">
        <v>48</v>
      </c>
      <c r="K4" s="11" t="s">
        <v>49</v>
      </c>
      <c r="L4" s="11" t="s">
        <v>50</v>
      </c>
      <c r="M4" s="11" t="s">
        <v>51</v>
      </c>
    </row>
    <row r="5" ht="86" customHeight="1" spans="1:13">
      <c r="A5" s="9">
        <v>2</v>
      </c>
      <c r="B5" s="9" t="s">
        <v>20</v>
      </c>
      <c r="C5" s="10" t="s">
        <v>21</v>
      </c>
      <c r="D5" s="11" t="s">
        <v>52</v>
      </c>
      <c r="E5" s="12">
        <v>780</v>
      </c>
      <c r="F5" s="13">
        <v>1</v>
      </c>
      <c r="G5" s="12">
        <f>E5*F5</f>
        <v>780</v>
      </c>
      <c r="H5" s="11" t="s">
        <v>46</v>
      </c>
      <c r="I5" s="14" t="s">
        <v>47</v>
      </c>
      <c r="J5" s="11" t="s">
        <v>48</v>
      </c>
      <c r="K5" s="11" t="s">
        <v>49</v>
      </c>
      <c r="L5" s="11" t="s">
        <v>53</v>
      </c>
      <c r="M5" s="11" t="s">
        <v>54</v>
      </c>
    </row>
    <row r="6" ht="86" customHeight="1" spans="1:13">
      <c r="A6" s="9">
        <v>3</v>
      </c>
      <c r="B6" s="9" t="s">
        <v>20</v>
      </c>
      <c r="C6" s="10" t="s">
        <v>21</v>
      </c>
      <c r="D6" s="11" t="s">
        <v>55</v>
      </c>
      <c r="E6" s="12">
        <v>290</v>
      </c>
      <c r="F6" s="13">
        <v>1</v>
      </c>
      <c r="G6" s="12">
        <f>E6*F6</f>
        <v>290</v>
      </c>
      <c r="H6" s="11" t="s">
        <v>46</v>
      </c>
      <c r="I6" s="14" t="s">
        <v>47</v>
      </c>
      <c r="J6" s="11" t="s">
        <v>48</v>
      </c>
      <c r="K6" s="11" t="s">
        <v>49</v>
      </c>
      <c r="L6" s="11" t="s">
        <v>56</v>
      </c>
      <c r="M6" s="11" t="s">
        <v>57</v>
      </c>
    </row>
    <row r="7" spans="1:13">
      <c r="A7" s="6"/>
      <c r="B7" s="6"/>
      <c r="C7" s="6"/>
      <c r="D7" s="6"/>
      <c r="E7" s="6"/>
      <c r="F7" s="6"/>
      <c r="G7" s="6"/>
      <c r="H7" s="6"/>
      <c r="I7" s="6"/>
      <c r="J7" s="6"/>
      <c r="K7" s="6"/>
      <c r="L7" s="6"/>
      <c r="M7" s="6"/>
    </row>
    <row r="8" spans="1:13">
      <c r="A8" s="6"/>
      <c r="B8" s="6"/>
      <c r="C8" s="6"/>
      <c r="D8" s="6"/>
      <c r="E8" s="6"/>
      <c r="F8" s="6"/>
      <c r="G8" s="6"/>
      <c r="H8" s="6"/>
      <c r="I8" s="6"/>
      <c r="J8" s="6"/>
      <c r="K8" s="6"/>
      <c r="L8" s="6"/>
      <c r="M8" s="6"/>
    </row>
    <row r="9" spans="1:13">
      <c r="A9" s="6"/>
      <c r="B9" s="6"/>
      <c r="C9" s="6"/>
      <c r="D9" s="6"/>
      <c r="E9" s="6"/>
      <c r="F9" s="6"/>
      <c r="G9" s="6"/>
      <c r="H9" s="6"/>
      <c r="I9" s="6"/>
      <c r="J9" s="6"/>
      <c r="K9" s="6"/>
      <c r="L9" s="6"/>
      <c r="M9" s="6"/>
    </row>
    <row r="10" spans="1:13">
      <c r="A10" s="6"/>
      <c r="B10" s="6"/>
      <c r="C10" s="6"/>
      <c r="D10" s="6"/>
      <c r="E10" s="6"/>
      <c r="F10" s="6"/>
      <c r="G10" s="6"/>
      <c r="H10" s="6"/>
      <c r="I10" s="6"/>
      <c r="J10" s="6"/>
      <c r="K10" s="6"/>
      <c r="L10" s="6"/>
      <c r="M10" s="6"/>
    </row>
    <row r="11" spans="1:13">
      <c r="A11" s="6"/>
      <c r="B11" s="6"/>
      <c r="C11" s="6"/>
      <c r="D11" s="6"/>
      <c r="E11" s="6"/>
      <c r="F11" s="6"/>
      <c r="G11" s="6"/>
      <c r="H11" s="6"/>
      <c r="I11" s="6"/>
      <c r="J11" s="6"/>
      <c r="K11" s="6"/>
      <c r="L11" s="6"/>
      <c r="M11" s="6"/>
    </row>
    <row r="12" spans="1:13">
      <c r="A12" s="6"/>
      <c r="B12" s="6"/>
      <c r="C12" s="6"/>
      <c r="D12" s="6"/>
      <c r="E12" s="6"/>
      <c r="F12" s="6"/>
      <c r="G12" s="6"/>
      <c r="H12" s="6"/>
      <c r="I12" s="6"/>
      <c r="J12" s="6"/>
      <c r="K12" s="6"/>
      <c r="L12" s="6"/>
      <c r="M12" s="6"/>
    </row>
    <row r="13" spans="1:13">
      <c r="A13" s="6"/>
      <c r="B13" s="6"/>
      <c r="C13" s="6"/>
      <c r="D13" s="6"/>
      <c r="E13" s="6"/>
      <c r="F13" s="6"/>
      <c r="G13" s="6"/>
      <c r="H13" s="6"/>
      <c r="I13" s="6"/>
      <c r="J13" s="6"/>
      <c r="K13" s="6"/>
      <c r="L13" s="6"/>
      <c r="M13" s="6"/>
    </row>
    <row r="14" spans="1:13">
      <c r="A14" s="6"/>
      <c r="B14" s="6"/>
      <c r="C14" s="6"/>
      <c r="D14" s="6"/>
      <c r="E14" s="6"/>
      <c r="F14" s="6"/>
      <c r="G14" s="6"/>
      <c r="H14" s="6"/>
      <c r="I14" s="6"/>
      <c r="J14" s="6"/>
      <c r="K14" s="6"/>
      <c r="L14" s="6"/>
      <c r="M14" s="6"/>
    </row>
    <row r="15" spans="1:13">
      <c r="A15" s="6"/>
      <c r="B15" s="6"/>
      <c r="C15" s="6"/>
      <c r="D15" s="6"/>
      <c r="E15" s="6"/>
      <c r="F15" s="6"/>
      <c r="G15" s="6"/>
      <c r="H15" s="6"/>
      <c r="I15" s="6"/>
      <c r="J15" s="6"/>
      <c r="K15" s="6"/>
      <c r="L15" s="6"/>
      <c r="M15" s="6"/>
    </row>
  </sheetData>
  <mergeCells count="1">
    <mergeCell ref="A2:M2"/>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6"/>
  <sheetViews>
    <sheetView workbookViewId="0">
      <selection activeCell="A1" sqref="A1"/>
    </sheetView>
  </sheetViews>
  <sheetFormatPr defaultColWidth="9" defaultRowHeight="17.6"/>
  <cols>
    <col min="1" max="1" width="7.98214285714286" customWidth="1"/>
    <col min="2" max="4" width="14.5535714285714" customWidth="1"/>
    <col min="5" max="5" width="18.9285714285714" customWidth="1"/>
    <col min="6" max="11" width="14.5535714285714" customWidth="1"/>
    <col min="12" max="12" width="18.625" customWidth="1"/>
    <col min="13" max="13" width="14.5535714285714" customWidth="1"/>
  </cols>
  <sheetData>
    <row r="1" ht="20.4" spans="1:13">
      <c r="A1" s="1" t="s">
        <v>58</v>
      </c>
      <c r="B1" s="2"/>
      <c r="C1" s="2"/>
      <c r="D1" s="2"/>
      <c r="E1" s="2"/>
      <c r="F1" s="2"/>
      <c r="G1" s="2"/>
      <c r="H1" s="2"/>
      <c r="I1" s="2"/>
      <c r="J1" s="2"/>
      <c r="K1" s="2"/>
      <c r="L1" s="2"/>
      <c r="M1" s="2"/>
    </row>
    <row r="2" ht="38" customHeight="1" spans="1:13">
      <c r="A2" s="3" t="s">
        <v>59</v>
      </c>
      <c r="B2" s="3"/>
      <c r="C2" s="3"/>
      <c r="D2" s="3"/>
      <c r="E2" s="3"/>
      <c r="F2" s="3"/>
      <c r="G2" s="3"/>
      <c r="H2" s="3"/>
      <c r="I2" s="3"/>
      <c r="J2" s="3"/>
      <c r="K2" s="3"/>
      <c r="L2" s="3"/>
      <c r="M2" s="3"/>
    </row>
    <row r="3" ht="51" spans="1:13">
      <c r="A3" s="5" t="s">
        <v>2</v>
      </c>
      <c r="B3" s="5" t="s">
        <v>3</v>
      </c>
      <c r="C3" s="5" t="s">
        <v>4</v>
      </c>
      <c r="D3" s="5" t="s">
        <v>60</v>
      </c>
      <c r="E3" s="5" t="s">
        <v>61</v>
      </c>
      <c r="F3" s="5" t="s">
        <v>62</v>
      </c>
      <c r="G3" s="5" t="s">
        <v>63</v>
      </c>
      <c r="H3" s="5" t="s">
        <v>64</v>
      </c>
      <c r="I3" s="5" t="s">
        <v>65</v>
      </c>
      <c r="J3" s="5" t="s">
        <v>66</v>
      </c>
      <c r="K3" s="5" t="s">
        <v>30</v>
      </c>
      <c r="L3" s="5" t="s">
        <v>31</v>
      </c>
      <c r="M3" s="5" t="s">
        <v>67</v>
      </c>
    </row>
    <row r="4" spans="1:13">
      <c r="A4" s="6"/>
      <c r="B4" s="6"/>
      <c r="C4" s="6"/>
      <c r="D4" s="6"/>
      <c r="E4" s="6"/>
      <c r="F4" s="6"/>
      <c r="G4" s="6"/>
      <c r="H4" s="6"/>
      <c r="I4" s="6"/>
      <c r="J4" s="6"/>
      <c r="K4" s="6"/>
      <c r="L4" s="6"/>
      <c r="M4" s="6"/>
    </row>
    <row r="5" spans="1:13">
      <c r="A5" s="6"/>
      <c r="B5" s="6"/>
      <c r="C5" s="6"/>
      <c r="D5" s="6"/>
      <c r="E5" s="6"/>
      <c r="F5" s="6"/>
      <c r="G5" s="6"/>
      <c r="H5" s="6"/>
      <c r="I5" s="6"/>
      <c r="J5" s="6"/>
      <c r="K5" s="6"/>
      <c r="L5" s="6"/>
      <c r="M5" s="6"/>
    </row>
    <row r="6" spans="1:13">
      <c r="A6" s="6"/>
      <c r="B6" s="6"/>
      <c r="C6" s="6"/>
      <c r="D6" s="6"/>
      <c r="E6" s="6"/>
      <c r="F6" s="6"/>
      <c r="G6" s="6"/>
      <c r="H6" s="6"/>
      <c r="I6" s="6"/>
      <c r="J6" s="6"/>
      <c r="K6" s="6"/>
      <c r="L6" s="6"/>
      <c r="M6" s="6"/>
    </row>
    <row r="7" spans="1:13">
      <c r="A7" s="6"/>
      <c r="B7" s="6"/>
      <c r="C7" s="6"/>
      <c r="D7" s="6"/>
      <c r="E7" s="6"/>
      <c r="F7" s="6"/>
      <c r="G7" s="6"/>
      <c r="H7" s="6"/>
      <c r="I7" s="6"/>
      <c r="J7" s="6"/>
      <c r="K7" s="6"/>
      <c r="L7" s="6"/>
      <c r="M7" s="6"/>
    </row>
    <row r="8" spans="1:13">
      <c r="A8" s="6"/>
      <c r="B8" s="6"/>
      <c r="C8" s="6"/>
      <c r="D8" s="6"/>
      <c r="E8" s="6"/>
      <c r="F8" s="6"/>
      <c r="G8" s="6"/>
      <c r="H8" s="6"/>
      <c r="I8" s="6"/>
      <c r="J8" s="6"/>
      <c r="K8" s="6"/>
      <c r="L8" s="6"/>
      <c r="M8" s="6"/>
    </row>
    <row r="9" spans="1:13">
      <c r="A9" s="6"/>
      <c r="B9" s="6"/>
      <c r="C9" s="6"/>
      <c r="D9" s="6"/>
      <c r="E9" s="6"/>
      <c r="F9" s="6"/>
      <c r="G9" s="6"/>
      <c r="H9" s="6"/>
      <c r="I9" s="6"/>
      <c r="J9" s="6"/>
      <c r="K9" s="6"/>
      <c r="L9" s="6"/>
      <c r="M9" s="6"/>
    </row>
    <row r="10" spans="1:13">
      <c r="A10" s="6"/>
      <c r="B10" s="6"/>
      <c r="C10" s="6"/>
      <c r="D10" s="6"/>
      <c r="E10" s="6"/>
      <c r="F10" s="6"/>
      <c r="G10" s="6"/>
      <c r="H10" s="6"/>
      <c r="I10" s="6"/>
      <c r="J10" s="6"/>
      <c r="K10" s="6"/>
      <c r="L10" s="6"/>
      <c r="M10" s="6"/>
    </row>
    <row r="11" spans="1:13">
      <c r="A11" s="6"/>
      <c r="B11" s="6"/>
      <c r="C11" s="6"/>
      <c r="D11" s="6"/>
      <c r="E11" s="6"/>
      <c r="F11" s="6"/>
      <c r="G11" s="6"/>
      <c r="H11" s="6"/>
      <c r="I11" s="6"/>
      <c r="J11" s="6"/>
      <c r="K11" s="6"/>
      <c r="L11" s="6"/>
      <c r="M11" s="6"/>
    </row>
    <row r="12" spans="1:13">
      <c r="A12" s="6"/>
      <c r="B12" s="6"/>
      <c r="C12" s="6"/>
      <c r="D12" s="6"/>
      <c r="E12" s="6"/>
      <c r="F12" s="6"/>
      <c r="G12" s="6"/>
      <c r="H12" s="6"/>
      <c r="I12" s="6"/>
      <c r="J12" s="6"/>
      <c r="K12" s="6"/>
      <c r="L12" s="6"/>
      <c r="M12" s="6"/>
    </row>
    <row r="13" spans="1:13">
      <c r="A13" s="6"/>
      <c r="B13" s="6"/>
      <c r="C13" s="6"/>
      <c r="D13" s="6"/>
      <c r="E13" s="6"/>
      <c r="F13" s="6"/>
      <c r="G13" s="6"/>
      <c r="H13" s="6"/>
      <c r="I13" s="6"/>
      <c r="J13" s="6"/>
      <c r="K13" s="6"/>
      <c r="L13" s="6"/>
      <c r="M13" s="6"/>
    </row>
    <row r="14" spans="1:13">
      <c r="A14" s="6"/>
      <c r="B14" s="6"/>
      <c r="C14" s="6"/>
      <c r="D14" s="6"/>
      <c r="E14" s="6"/>
      <c r="F14" s="6"/>
      <c r="G14" s="6"/>
      <c r="H14" s="6"/>
      <c r="I14" s="6"/>
      <c r="J14" s="6"/>
      <c r="K14" s="6"/>
      <c r="L14" s="6"/>
      <c r="M14" s="6"/>
    </row>
    <row r="15" spans="1:13">
      <c r="A15" s="6"/>
      <c r="B15" s="6"/>
      <c r="C15" s="6"/>
      <c r="D15" s="6"/>
      <c r="E15" s="6"/>
      <c r="F15" s="6"/>
      <c r="G15" s="6"/>
      <c r="H15" s="6"/>
      <c r="I15" s="6"/>
      <c r="J15" s="6"/>
      <c r="K15" s="6"/>
      <c r="L15" s="6"/>
      <c r="M15" s="6"/>
    </row>
    <row r="16" spans="1:13">
      <c r="A16" s="6"/>
      <c r="B16" s="6"/>
      <c r="C16" s="6"/>
      <c r="D16" s="6"/>
      <c r="E16" s="6"/>
      <c r="F16" s="6"/>
      <c r="G16" s="6"/>
      <c r="H16" s="6"/>
      <c r="I16" s="6"/>
      <c r="J16" s="6"/>
      <c r="K16" s="6"/>
      <c r="L16" s="6"/>
      <c r="M16" s="6"/>
    </row>
  </sheetData>
  <mergeCells count="1">
    <mergeCell ref="A2:M2"/>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3"/>
  <sheetViews>
    <sheetView workbookViewId="0">
      <selection activeCell="A1" sqref="A1"/>
    </sheetView>
  </sheetViews>
  <sheetFormatPr defaultColWidth="9" defaultRowHeight="17.6"/>
  <cols>
    <col min="1" max="1" width="7" customWidth="1"/>
    <col min="2" max="12" width="13.6785714285714" customWidth="1"/>
  </cols>
  <sheetData>
    <row r="1" ht="20.4" spans="1:12">
      <c r="A1" s="1" t="s">
        <v>68</v>
      </c>
      <c r="B1" s="2"/>
      <c r="C1" s="2"/>
      <c r="D1" s="2"/>
      <c r="E1" s="2"/>
      <c r="F1" s="2"/>
      <c r="G1" s="2"/>
      <c r="H1" s="2"/>
      <c r="I1" s="2"/>
      <c r="J1" s="2"/>
      <c r="K1" s="2"/>
      <c r="L1" s="2"/>
    </row>
    <row r="2" ht="27" customHeight="1" spans="1:12">
      <c r="A2" s="3" t="s">
        <v>69</v>
      </c>
      <c r="B2" s="3"/>
      <c r="C2" s="3"/>
      <c r="D2" s="3"/>
      <c r="E2" s="3"/>
      <c r="F2" s="3"/>
      <c r="G2" s="3"/>
      <c r="H2" s="3"/>
      <c r="I2" s="3"/>
      <c r="J2" s="3"/>
      <c r="K2" s="3"/>
      <c r="L2" s="3"/>
    </row>
    <row r="3" ht="49" customHeight="1" spans="1:12">
      <c r="A3" s="4" t="s">
        <v>2</v>
      </c>
      <c r="B3" s="4" t="s">
        <v>3</v>
      </c>
      <c r="C3" s="4" t="s">
        <v>4</v>
      </c>
      <c r="D3" s="4" t="s">
        <v>70</v>
      </c>
      <c r="E3" s="4" t="s">
        <v>71</v>
      </c>
      <c r="F3" s="4" t="s">
        <v>72</v>
      </c>
      <c r="G3" s="4" t="s">
        <v>65</v>
      </c>
      <c r="H3" s="4" t="s">
        <v>66</v>
      </c>
      <c r="I3" s="4" t="s">
        <v>73</v>
      </c>
      <c r="J3" s="5" t="s">
        <v>30</v>
      </c>
      <c r="K3" s="5" t="s">
        <v>31</v>
      </c>
      <c r="L3" s="4" t="s">
        <v>74</v>
      </c>
    </row>
    <row r="4" spans="1:12">
      <c r="A4" s="6"/>
      <c r="B4" s="6"/>
      <c r="C4" s="6"/>
      <c r="D4" s="6"/>
      <c r="E4" s="6"/>
      <c r="F4" s="6"/>
      <c r="G4" s="6"/>
      <c r="H4" s="6"/>
      <c r="I4" s="6"/>
      <c r="J4" s="6"/>
      <c r="K4" s="6"/>
      <c r="L4" s="6"/>
    </row>
    <row r="5" spans="1:12">
      <c r="A5" s="6"/>
      <c r="B5" s="6"/>
      <c r="C5" s="6"/>
      <c r="D5" s="6"/>
      <c r="E5" s="6"/>
      <c r="F5" s="6"/>
      <c r="G5" s="6"/>
      <c r="H5" s="6"/>
      <c r="I5" s="6"/>
      <c r="J5" s="6"/>
      <c r="K5" s="6"/>
      <c r="L5" s="6"/>
    </row>
    <row r="6" spans="1:12">
      <c r="A6" s="6"/>
      <c r="B6" s="6"/>
      <c r="C6" s="6"/>
      <c r="D6" s="6"/>
      <c r="E6" s="6"/>
      <c r="F6" s="6"/>
      <c r="G6" s="6"/>
      <c r="H6" s="6"/>
      <c r="I6" s="6"/>
      <c r="J6" s="6"/>
      <c r="K6" s="6"/>
      <c r="L6" s="6"/>
    </row>
    <row r="7" spans="1:12">
      <c r="A7" s="6"/>
      <c r="B7" s="6"/>
      <c r="C7" s="6"/>
      <c r="D7" s="6"/>
      <c r="E7" s="6"/>
      <c r="F7" s="6"/>
      <c r="G7" s="6"/>
      <c r="H7" s="6"/>
      <c r="I7" s="6"/>
      <c r="J7" s="6"/>
      <c r="K7" s="6"/>
      <c r="L7" s="6"/>
    </row>
    <row r="8" spans="1:12">
      <c r="A8" s="6"/>
      <c r="B8" s="6"/>
      <c r="C8" s="6"/>
      <c r="D8" s="6"/>
      <c r="E8" s="6"/>
      <c r="F8" s="6"/>
      <c r="G8" s="6"/>
      <c r="H8" s="6"/>
      <c r="I8" s="6"/>
      <c r="J8" s="6"/>
      <c r="K8" s="6"/>
      <c r="L8" s="6"/>
    </row>
    <row r="9" spans="1:12">
      <c r="A9" s="6"/>
      <c r="B9" s="6"/>
      <c r="C9" s="6"/>
      <c r="D9" s="6"/>
      <c r="E9" s="6"/>
      <c r="F9" s="6"/>
      <c r="G9" s="6"/>
      <c r="H9" s="6"/>
      <c r="I9" s="6"/>
      <c r="J9" s="6"/>
      <c r="K9" s="6"/>
      <c r="L9" s="6"/>
    </row>
    <row r="10" spans="1:12">
      <c r="A10" s="6"/>
      <c r="B10" s="6"/>
      <c r="C10" s="6"/>
      <c r="D10" s="6"/>
      <c r="E10" s="6"/>
      <c r="F10" s="6"/>
      <c r="G10" s="6"/>
      <c r="H10" s="6"/>
      <c r="I10" s="6"/>
      <c r="J10" s="6"/>
      <c r="K10" s="6"/>
      <c r="L10" s="6"/>
    </row>
    <row r="11" spans="1:12">
      <c r="A11" s="6"/>
      <c r="B11" s="6"/>
      <c r="C11" s="6"/>
      <c r="D11" s="6"/>
      <c r="E11" s="6"/>
      <c r="F11" s="6"/>
      <c r="G11" s="6"/>
      <c r="H11" s="6"/>
      <c r="I11" s="6"/>
      <c r="J11" s="6"/>
      <c r="K11" s="6"/>
      <c r="L11" s="6"/>
    </row>
    <row r="12" spans="1:12">
      <c r="A12" s="6"/>
      <c r="B12" s="6"/>
      <c r="C12" s="6"/>
      <c r="D12" s="6"/>
      <c r="E12" s="6"/>
      <c r="F12" s="6"/>
      <c r="G12" s="6"/>
      <c r="H12" s="6"/>
      <c r="I12" s="6"/>
      <c r="J12" s="6"/>
      <c r="K12" s="6"/>
      <c r="L12" s="6"/>
    </row>
    <row r="13" spans="1:12">
      <c r="A13" s="6"/>
      <c r="B13" s="6"/>
      <c r="C13" s="6"/>
      <c r="D13" s="6"/>
      <c r="E13" s="6"/>
      <c r="F13" s="6"/>
      <c r="G13" s="6"/>
      <c r="H13" s="6"/>
      <c r="I13" s="6"/>
      <c r="J13" s="6"/>
      <c r="K13" s="6"/>
      <c r="L13" s="6"/>
    </row>
  </sheetData>
  <mergeCells count="1">
    <mergeCell ref="A2:L2"/>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5</vt:i4>
      </vt:variant>
    </vt:vector>
  </HeadingPairs>
  <TitlesOfParts>
    <vt:vector size="5" baseType="lpstr">
      <vt:lpstr>汇总表</vt:lpstr>
      <vt:lpstr>车辆</vt:lpstr>
      <vt:lpstr>设备</vt:lpstr>
      <vt:lpstr>房屋</vt:lpstr>
      <vt:lpstr>土地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Jessie</cp:lastModifiedBy>
  <dcterms:created xsi:type="dcterms:W3CDTF">2026-08-28T20:28:50Z</dcterms:created>
  <dcterms:modified xsi:type="dcterms:W3CDTF">2026-08-28T20:29:53Z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9C8681D55E6370BA417F916A2F54F987_42</vt:lpwstr>
  </property>
  <property fmtid="{D5CDD505-2E9C-101B-9397-08002B2CF9AE}" pid="3" name="KSOProductBuildVer">
    <vt:lpwstr>2052-12.1.26046.26046</vt:lpwstr>
  </property>
  <property fmtid="{D5CDD505-2E9C-101B-9397-08002B2CF9AE}" pid="4" name="CalculationRule">
    <vt:i4>0</vt:i4>
  </property>
</Properties>
</file>