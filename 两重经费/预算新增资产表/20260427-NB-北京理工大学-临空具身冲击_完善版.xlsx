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640"/>
  </bookViews>
  <sheets>
    <sheet name="总表" sheetId="1" r:id="rId1"/>
    <sheet name="新增资产配置明细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<sst xmlns="http://schemas.openxmlformats.org/spreadsheetml/2006/main" count="150" uniqueCount="93">
  <si>
    <t>附件1</t>
  </si>
  <si>
    <t>2026年GZ支出预算项目分配表</t>
  </si>
  <si>
    <t>报送日期：</t>
  </si>
  <si>
    <t>单位：万元</t>
  </si>
  <si>
    <t>序号</t>
  </si>
  <si>
    <t>所属投向领域</t>
  </si>
  <si>
    <t>部门</t>
  </si>
  <si>
    <t>项目单位</t>
  </si>
  <si>
    <t>项目名称</t>
  </si>
  <si>
    <t>金额</t>
  </si>
  <si>
    <t>政府性基金预算支出
功能分类科目</t>
  </si>
  <si>
    <t>政府预算支出
经济分类科目</t>
  </si>
  <si>
    <t>政府采购</t>
  </si>
  <si>
    <t>新增资产</t>
  </si>
  <si>
    <t>参考</t>
  </si>
  <si>
    <t>科目代码</t>
  </si>
  <si>
    <t>科目名称</t>
  </si>
  <si>
    <t>合计</t>
  </si>
  <si>
    <t>货物</t>
  </si>
  <si>
    <t>服务</t>
  </si>
  <si>
    <t>工程</t>
  </si>
  <si>
    <t>主要建设内容</t>
  </si>
  <si>
    <t>项目总投资</t>
  </si>
  <si>
    <t>安排的超长期特别国债资金金额</t>
  </si>
  <si>
    <t>其他投资资金规模</t>
  </si>
  <si>
    <t>超长期特别国债安排方式</t>
  </si>
  <si>
    <t>开工或预计开工时间</t>
  </si>
  <si>
    <t>密级</t>
  </si>
  <si>
    <t>强化应用基础研究和前沿研究</t>
  </si>
  <si>
    <t>工业和信息化部</t>
  </si>
  <si>
    <t>北京理工大学</t>
  </si>
  <si>
    <t>临近空间全高程环境多要素激光雷达探测平台</t>
  </si>
  <si>
    <t>技术研究与开发</t>
  </si>
  <si>
    <t>资本性支出</t>
  </si>
  <si>
    <t>拟建设的临近空间全高程环境多要素激光雷达探测平台，深度融合单光子探测技术，构建光学共性基础支撑平台、大气成分探测平台、气象多要素类探测平台三位一体的先进探测体系，包含23台套设备，实现对临近空间的大气密度温度、湿度、Na离子、臭氧等多环境要素的高精度探测。</t>
  </si>
  <si>
    <t>投资补助</t>
  </si>
  <si>
    <t>2025年09月01日</t>
  </si>
  <si>
    <t>不涉密</t>
  </si>
  <si>
    <t>冲击加载爆炸多物理场感知实验平台</t>
  </si>
  <si>
    <t>新增配置单价100万元及以上设备2台（套），总金额940万元。</t>
  </si>
  <si>
    <t>本项目依托北京理工大学的爆炸科学与安全防护全国重点实验室开展，建设冲击加载爆炸多物理场感知实验平台。具体如下：1. 研制一套爆炸冲击加载系统。2. 研制一套抗干扰爆炸产物激光高速测量系统。3. 研制一套爆炸流场演化成像测量系统。项目总投资4700万人民币，其中2350万国拨，2350万自筹，项目占地1000平米。</t>
  </si>
  <si>
    <t>2025年05月31日</t>
  </si>
  <si>
    <t>具身无人集群跨域自主协同平台</t>
  </si>
  <si>
    <t>新增配置单价100万元及以上设备2台（套），总金额558万元。</t>
  </si>
  <si>
    <t>全域感知与认知导航、 具身群体智能决策控制、 虚实融合智能化评估验证三个子平台， 共购置设备 261 台套。 全域感知与认知导航平台包括环境模拟系统、统域感知与测量系统、自校数据生成与处理系统、跨介域导航系统以及认知推理评估系统，共购置设备98台套。具身群体智能决策控制平台包含具身大模型系统、单体认知与学习系统和群体智能演进与博弈系统以及人机协同智能增强系统，共购置设备84台套。虚实融合智能化评估验证平台包括场景生成与渲染系统、虚实交互系统、可视化平台以及效能评估系统，共购置设备79台套。</t>
  </si>
  <si>
    <t>2025年05月30日</t>
  </si>
  <si>
    <t>附件2</t>
  </si>
  <si>
    <t>工业和信息化部新增资产情况表（设备）</t>
  </si>
  <si>
    <t>填报内容说明及注意事项：
一、必要性等说明
无同类存量资产模板：为建设*平台，开展*工作，*单位目前不具有XXX功能的设备无法满足建设需求，特此申请追加*台（套）100万元及以上设备配置预算，所需经费均从*项目列支。
有同类存量资产模板：为支撑*建设需要，*单位申请追加*台（套）100万元及以上设备配置预算，所需经费均从*项目列支。其中*已有同类存量资产*台（套），但当前*设备速率……，无法升级扩展支持……（说明与原有设备相比，新购设备的必要性），不能满足*需求，因此需购置仪器设备。
二、设备主要规格参数填写（必须按照此规则）
1.设备指标参数特别强调符号规范使用，尤其是单位、符号、科学技术法表示的上下角标（例如㎝²、CO2 ），＞＜号，符号全部用“英文全角”。
2.指标分行不要用☆、△、●等符号间隔，全部用“;”表示，若要标记序号，全部用①、②等数字格式标记；同时清除不必要的空格。
3.间隔号不要用“～”，请全部使用“-”作为间隔区间符号。
三、各申报单位压实主体责任，高校以学校为主体申报，请勿出现XX学院申请，XX学院存量等表述，务必先自审填报信息的准确性，包括存量数据、金额、参数等，保证行文语句通畅，切勿出现错别字。
四、设备主要规格务必精炼，不得超过3个条目。
五、申报资产总额切勿超过财政资金批复总额。
六、本表格所有格子都需要填写，包括项目代码</t>
  </si>
  <si>
    <t>单位名称</t>
  </si>
  <si>
    <t>单位代码</t>
  </si>
  <si>
    <t>设备名称</t>
  </si>
  <si>
    <t>设备单价（万元）</t>
  </si>
  <si>
    <t>拟购置数量</t>
  </si>
  <si>
    <t>设备总价（万元）
（设备总价必须等于单价乘数量）</t>
  </si>
  <si>
    <t>政府采购金额（万元）</t>
  </si>
  <si>
    <t>项目名称
（二级项目）</t>
  </si>
  <si>
    <t>项目代码
（在一体化系统新增项目，暂存后就有项目号）</t>
  </si>
  <si>
    <t>资金性质
（必须填报“财政拨款资金”）</t>
  </si>
  <si>
    <t>年初未编报新增资产配置预算的原因
（必须填报“年中追加预算”）</t>
  </si>
  <si>
    <t>设备主要规格
（参数请务必仔细查看表头的填报说明，按要求填写）</t>
  </si>
  <si>
    <t>同类资产存量
（填纯数字不填单位）</t>
  </si>
  <si>
    <t>必要性说明
（参数请务必仔细查看表头的填报说明，按要求填写）</t>
  </si>
  <si>
    <t>设备性质
（必须填写“硬件类”或“软硬件结合，以硬件为主”，纯软件不得申报新增资产设备）</t>
  </si>
  <si>
    <t>室内5G基站</t>
  </si>
  <si>
    <t>102124262020000000089</t>
  </si>
  <si>
    <t>财政拨款资金</t>
  </si>
  <si>
    <t>年中追加预算</t>
  </si>
  <si>
    <t>吞吐量200Mbps;连接用户数50</t>
  </si>
  <si>
    <t>为建设具身无人集群跨域自主协同平台，开展具身集群与认知导航工作，北京理工大学目前不具稳定、高效的通信网络来支撑多智能体协作、实时决策和数据同步，无法满足建设需求，特此申请追加１台（套）100万元及以上设备配置预算，所需经费均从具身无人集群跨域自主协同平台项目列支。</t>
  </si>
  <si>
    <t>硬件类</t>
  </si>
  <si>
    <t xml:space="preserve">124202
</t>
  </si>
  <si>
    <t>光学全场景感知系统</t>
  </si>
  <si>
    <t>覆盖区域700平方米;最高定位精度1mm;可捕捉最大运动速度30m/s</t>
  </si>
  <si>
    <t>为建设具身无人集群跨域自主协同平台，开展高精度实时全场景感知工作，北京理工大学目前不具有高精度、高速度的定位与感知设备，无法满足建设需求，特此申请追加１台（套）100万元及以上设备配置预算，所需经费均从具身无人集群跨域自主协同平台项目列支。</t>
  </si>
  <si>
    <t>超快温度测试设备</t>
  </si>
  <si>
    <t>102124262020000000088</t>
  </si>
  <si>
    <t>测温范围300-2500摄氏度;
波段范围1.5微米-5.4微米;
输出通道数不少于5个;</t>
  </si>
  <si>
    <t>为建设冲击加载爆炸多物理场感知实验平台，开展爆炸多物理场探测工作，北京理工大学单位目前不具有爆炸冲击温度场的实时测试功能的设备，无法满足建设需求，特此申请追加1台（套）100万元及以上设备配置预算，所需经费均从冲击加载爆炸多物理场感知实验平台项目列支。</t>
  </si>
  <si>
    <t>高光谱探测器掩膜制备设备</t>
  </si>
  <si>
    <t>基片直径不小于150mm;
中和器采用三重等离子桥中和器;
基准压力小于5×10-7mbar;</t>
  </si>
  <si>
    <t>为建设冲击加载爆炸多物理场感知实验平台，开展炸多物理场探测工作，北京理工大学单位目前不具有高光谱探测器掩膜制备功能的设备，无法满足建设需求，特此申请追加1台（套）100万元及以上设备配置预算，所需经费均从冲击加载爆炸多物理场感知实验平台项目列支。</t>
  </si>
  <si>
    <t>124202</t>
  </si>
  <si>
    <t>主镜筒机电结构</t>
  </si>
  <si>
    <t>102124262020000000087</t>
  </si>
  <si>
    <t>①主镜筒结构满足临近空间激光雷达光机系统集成要求;②具备高稳定性方位、俯仰运动与精密定位能力;③支持光学组件安装、密封防护和远程控制</t>
  </si>
  <si>
    <t>为建设临近空间全高程环境多要素激光雷达探测平台，开展多要素激光雷达综合探测工作，北京理工大学目前缺少满足大口径光机系统集成、稳定指向和长期运行需求的主镜筒机电结构，无法满足平台建设需求，特此申请追加1台（套）100万元及以上设备配置预算，所需经费均从临近空间全高程环境多要素激光雷达探测平台项目列支。</t>
  </si>
  <si>
    <t>钠原子探测激光雷达</t>
  </si>
  <si>
    <t>①激光工作波长589nm;②探测高度覆盖中间层顶及低热层钠层;③具备钠原子密度、温度及风场高时空分辨率探测能力</t>
  </si>
  <si>
    <t>为建设临近空间全高程环境多要素激光雷达探测平台，开展临近空间钠层密度、温度及风场探测工作，北京理工大学目前缺少具备钠原子共振荧光探测能力的专用激光雷达，无法满足平台多要素协同探测需求，特此申请追加1台（套）100万元及以上设备配置预算，所需经费均从临近空间全高程环境多要素激光雷达探测平台项目列支。</t>
  </si>
  <si>
    <t>临空高精度激光泵浦电磁探测系统</t>
  </si>
  <si>
    <t>①泵浦激光频率连续可调并具备长期稳频能力;②电磁场幅相探测具备高灵敏度和高动态范围;③支持临近空间电磁环境多参数联合测量</t>
  </si>
  <si>
    <t>为建设临近空间全高程环境多要素激光雷达探测平台，开展临近空间电磁环境高精度感知工作，北京理工大学目前缺少激光泵浦高灵敏电磁探测设备，无法满足复杂临空环境下电磁参数联合测量需求，特此申请追加1台（套）100万元及以上设备配置预算，所需经费均从临近空间全高程环境多要素激光雷达探测平台项目列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</si>
</sst>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rlito"/>
      <charset val="134"/>
    </font>
    <font>
      <b/>
      <sz val="11"/>
      <color rgb="FF000000"/>
      <name val="Carlito"/>
      <charset val="134"/>
    </font>
    <font>
      <sz val="11"/>
      <color rgb="FF000000"/>
      <name val="Carlito"/>
      <charset val="134"/>
    </font>
    <font>
      <b/>
      <sz val="11"/>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5"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6" applyNumberFormat="0" applyFill="0" applyAlignment="0" applyProtection="0">
      <alignment vertical="center"/>
    </xf>
    <xf numFmtId="0" fontId="11" fillId="0" borderId="6" applyNumberFormat="0" applyFill="0" applyAlignment="0" applyProtection="0">
      <alignment vertical="center"/>
    </xf>
    <xf numFmtId="0" fontId="12" fillId="0" borderId="7" applyNumberFormat="0" applyFill="0" applyAlignment="0" applyProtection="0">
      <alignment vertical="center"/>
    </xf>
    <xf numFmtId="0" fontId="12" fillId="0" borderId="0" applyNumberFormat="0" applyFill="0" applyBorder="0" applyAlignment="0" applyProtection="0">
      <alignment vertical="center"/>
    </xf>
    <xf numFmtId="0" fontId="13" fillId="4" borderId="8" applyNumberFormat="0" applyAlignment="0" applyProtection="0">
      <alignment vertical="center"/>
    </xf>
    <xf numFmtId="0" fontId="14" fillId="5" borderId="9" applyNumberFormat="0" applyAlignment="0" applyProtection="0">
      <alignment vertical="center"/>
    </xf>
    <xf numFmtId="0" fontId="15" fillId="5" borderId="8" applyNumberFormat="0" applyAlignment="0" applyProtection="0">
      <alignment vertical="center"/>
    </xf>
    <xf numFmtId="0" fontId="16" fillId="6" borderId="10" applyNumberFormat="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0" fillId="0" borderId="0"/>
  </cellStyleXfs>
  <cellXfs count="39">
    <xf numFmtId="0" fontId="0" fillId="0" borderId="0" xfId="49"/>
    <xf numFmtId="0" fontId="1" fillId="0" borderId="0" xfId="49" applyNumberFormat="1" applyFont="1" applyFill="1" applyBorder="1" applyAlignment="1">
      <alignment vertical="center"/>
    </xf>
    <xf numFmtId="0" fontId="2" fillId="0" borderId="0" xfId="49" applyNumberFormat="1" applyFont="1" applyFill="1" applyBorder="1" applyAlignment="1">
      <alignment vertical="center"/>
    </xf>
    <xf numFmtId="0" fontId="0" fillId="0" borderId="0" xfId="49" applyNumberFormat="1" applyFont="1" applyFill="1" applyBorder="1" applyAlignment="1">
      <alignment vertical="center"/>
    </xf>
    <xf numFmtId="0" fontId="0" fillId="0" borderId="0" xfId="49" applyNumberFormat="1" applyFont="1" applyFill="1" applyBorder="1" applyAlignment="1">
      <alignment horizontal="left" vertical="center"/>
    </xf>
    <xf numFmtId="0" fontId="0" fillId="0" borderId="0" xfId="49" applyNumberFormat="1" applyFont="1" applyFill="1" applyBorder="1" applyAlignment="1">
      <alignment vertical="center" wrapText="1"/>
    </xf>
    <xf numFmtId="0" fontId="2" fillId="0" borderId="0" xfId="49" applyNumberFormat="1" applyFont="1" applyFill="1" applyBorder="1" applyAlignment="1">
      <alignment horizontal="center" vertical="center"/>
    </xf>
    <xf numFmtId="0" fontId="0" fillId="0" borderId="0" xfId="49" applyNumberFormat="1" applyFont="1" applyFill="1" applyBorder="1" applyAlignment="1">
      <alignment horizontal="left" vertical="center" wrapText="1"/>
    </xf>
    <xf numFmtId="0" fontId="1" fillId="0" borderId="1" xfId="49" applyNumberFormat="1" applyFont="1" applyFill="1" applyBorder="1" applyAlignment="1">
      <alignment horizontal="center" vertical="center"/>
    </xf>
    <xf numFmtId="0" fontId="1" fillId="0" borderId="1" xfId="49" applyNumberFormat="1" applyFont="1" applyFill="1" applyBorder="1" applyAlignment="1">
      <alignment horizontal="center" vertical="center" wrapText="1"/>
    </xf>
    <xf numFmtId="0" fontId="3" fillId="0" borderId="1" xfId="49" applyNumberFormat="1" applyFont="1" applyFill="1" applyBorder="1" applyAlignment="1">
      <alignment horizontal="center" vertical="center" wrapText="1"/>
    </xf>
    <xf numFmtId="0" fontId="0" fillId="2" borderId="1" xfId="49" applyNumberFormat="1" applyFont="1" applyFill="1" applyBorder="1" applyAlignment="1">
      <alignment horizontal="center" vertical="center" wrapText="1"/>
    </xf>
    <xf numFmtId="0" fontId="0" fillId="2" borderId="2" xfId="49" applyNumberFormat="1" applyFont="1" applyFill="1" applyBorder="1" applyAlignment="1">
      <alignment vertical="center" wrapText="1"/>
    </xf>
    <xf numFmtId="49" fontId="0" fillId="2" borderId="2" xfId="49" applyNumberFormat="1" applyFont="1" applyFill="1" applyBorder="1" applyAlignment="1">
      <alignment horizontal="center" vertical="center" wrapText="1"/>
    </xf>
    <xf numFmtId="0" fontId="0" fillId="2" borderId="2" xfId="49" applyNumberFormat="1" applyFont="1" applyFill="1" applyBorder="1" applyAlignment="1">
      <alignment horizontal="center" vertical="center" wrapText="1"/>
    </xf>
    <xf numFmtId="49" fontId="0" fillId="2" borderId="2" xfId="49" applyNumberFormat="1" applyFont="1" applyFill="1" applyBorder="1" applyAlignment="1">
      <alignment vertical="center" wrapText="1"/>
    </xf>
    <xf numFmtId="0" fontId="0" fillId="2" borderId="2" xfId="49" applyNumberFormat="1" applyFont="1" applyFill="1" applyBorder="1" applyAlignment="1">
      <alignment horizontal="center" vertical="center"/>
    </xf>
    <xf numFmtId="0" fontId="2" fillId="2" borderId="2" xfId="49" applyNumberFormat="1" applyFont="1" applyFill="1" applyBorder="1" applyAlignment="1">
      <alignment horizontal="left" vertical="center" wrapText="1"/>
    </xf>
    <xf numFmtId="0" fontId="0" fillId="2" borderId="1" xfId="49" applyNumberFormat="1" applyFont="1" applyFill="1" applyBorder="1" applyAlignment="1">
      <alignment vertical="center" wrapText="1"/>
    </xf>
    <xf numFmtId="49" fontId="0" fillId="2" borderId="1" xfId="49" applyNumberFormat="1" applyFont="1" applyFill="1" applyBorder="1" applyAlignment="1">
      <alignment horizontal="center" vertical="center" wrapText="1"/>
    </xf>
    <xf numFmtId="0" fontId="2" fillId="2" borderId="1" xfId="49" applyNumberFormat="1" applyFont="1" applyFill="1" applyBorder="1" applyAlignment="1">
      <alignment horizontal="left" vertical="center" wrapText="1"/>
    </xf>
    <xf numFmtId="0" fontId="0" fillId="2" borderId="1" xfId="49" applyNumberFormat="1" applyFont="1" applyFill="1" applyBorder="1" applyAlignment="1">
      <alignment horizontal="center" vertical="center"/>
    </xf>
    <xf numFmtId="2" fontId="0" fillId="2" borderId="1" xfId="49" applyNumberFormat="1" applyFont="1" applyFill="1" applyBorder="1" applyAlignment="1">
      <alignment horizontal="center" vertical="center" wrapText="1"/>
    </xf>
    <xf numFmtId="0" fontId="0" fillId="2" borderId="1" xfId="49" applyNumberFormat="1" applyFont="1" applyFill="1" applyBorder="1" applyAlignment="1">
      <alignment horizontal="left" vertical="center" wrapText="1"/>
    </xf>
    <xf numFmtId="0" fontId="1" fillId="0" borderId="0" xfId="49" applyNumberFormat="1" applyFont="1" applyFill="1" applyBorder="1" applyAlignment="1">
      <alignment horizontal="left" vertical="center"/>
    </xf>
    <xf numFmtId="0" fontId="2" fillId="0" borderId="0" xfId="49" applyNumberFormat="1" applyFont="1" applyFill="1" applyBorder="1" applyAlignment="1">
      <alignment horizontal="center" vertical="center" wrapText="1"/>
    </xf>
    <xf numFmtId="0" fontId="2" fillId="0" borderId="0" xfId="49" applyNumberFormat="1" applyFont="1" applyFill="1" applyBorder="1" applyAlignment="1">
      <alignment horizontal="justify" vertical="center"/>
    </xf>
    <xf numFmtId="0" fontId="2" fillId="0" borderId="0" xfId="49" applyNumberFormat="1" applyFont="1" applyFill="1" applyBorder="1" applyAlignment="1">
      <alignment horizontal="right" vertical="center"/>
    </xf>
    <xf numFmtId="0" fontId="2" fillId="0" borderId="2" xfId="49" applyNumberFormat="1" applyFont="1" applyFill="1" applyBorder="1" applyAlignment="1">
      <alignment horizontal="center" vertical="center"/>
    </xf>
    <xf numFmtId="0" fontId="2" fillId="0" borderId="2" xfId="49" applyNumberFormat="1" applyFont="1" applyFill="1" applyBorder="1" applyAlignment="1">
      <alignment horizontal="center" vertical="center" wrapText="1"/>
    </xf>
    <xf numFmtId="0" fontId="0" fillId="0" borderId="1" xfId="49" applyNumberFormat="1" applyFont="1" applyFill="1" applyBorder="1" applyAlignment="1">
      <alignment horizontal="center" vertical="center" wrapText="1"/>
    </xf>
    <xf numFmtId="0" fontId="0" fillId="0" borderId="3" xfId="49" applyNumberFormat="1" applyFont="1" applyFill="1" applyBorder="1" applyAlignment="1">
      <alignment horizontal="center" vertical="center" wrapText="1"/>
    </xf>
    <xf numFmtId="0" fontId="2" fillId="0" borderId="4" xfId="49" applyNumberFormat="1" applyFont="1" applyFill="1" applyBorder="1" applyAlignment="1">
      <alignment horizontal="center" vertical="center"/>
    </xf>
    <xf numFmtId="0" fontId="2" fillId="0" borderId="4" xfId="49" applyNumberFormat="1" applyFont="1" applyFill="1" applyBorder="1" applyAlignment="1">
      <alignment horizontal="center" vertical="center" wrapText="1"/>
    </xf>
    <xf numFmtId="0" fontId="2" fillId="0" borderId="1" xfId="49" applyNumberFormat="1" applyFont="1" applyFill="1" applyBorder="1" applyAlignment="1">
      <alignment horizontal="center" vertical="center"/>
    </xf>
    <xf numFmtId="0" fontId="2" fillId="0" borderId="3" xfId="49" applyNumberFormat="1" applyFont="1" applyFill="1" applyBorder="1" applyAlignment="1">
      <alignment horizontal="center" vertical="center" wrapText="1"/>
    </xf>
    <xf numFmtId="0" fontId="2" fillId="2" borderId="1" xfId="49" applyNumberFormat="1" applyFont="1" applyFill="1" applyBorder="1" applyAlignment="1">
      <alignment horizontal="center" vertical="center"/>
    </xf>
    <xf numFmtId="0" fontId="2" fillId="2" borderId="3" xfId="49" applyNumberFormat="1" applyFont="1" applyFill="1" applyBorder="1" applyAlignment="1">
      <alignment horizontal="center" vertical="center" wrapText="1"/>
    </xf>
    <xf numFmtId="0" fontId="2" fillId="0" borderId="0"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9"/>
  <sheetViews>
    <sheetView showGridLines="0" tabSelected="1" zoomScale="77" zoomScaleNormal="77" workbookViewId="0">
      <selection activeCell="E6" sqref="E6"/>
    </sheetView>
  </sheetViews>
  <sheetFormatPr defaultColWidth="9" defaultRowHeight="16.8"/>
  <cols>
    <col min="1" max="1" width="6.625" customWidth="1"/>
    <col min="2" max="2" width="27.75" customWidth="1"/>
    <col min="3" max="3" width="16.875" customWidth="1"/>
    <col min="4" max="4" width="22.125" customWidth="1"/>
    <col min="5" max="5" width="33.75" customWidth="1"/>
    <col min="6" max="6" width="13.5" customWidth="1"/>
    <col min="7" max="7" width="11.875" customWidth="1"/>
    <col min="8" max="8" width="24" customWidth="1"/>
    <col min="9" max="9" width="12.375" customWidth="1"/>
    <col min="10" max="10" width="18.875" customWidth="1"/>
    <col min="11" max="14" width="13" customWidth="1"/>
    <col min="15" max="15" width="30.375" customWidth="1"/>
    <col min="16" max="16" width="90" customWidth="1"/>
    <col min="17" max="22" width="9" customWidth="1"/>
  </cols>
  <sheetData>
    <row r="1" ht="54" customHeight="1" spans="1:22">
      <c r="A1" s="2" t="s">
        <v>0</v>
      </c>
      <c r="B1" s="2"/>
      <c r="C1" s="2"/>
      <c r="D1" s="2"/>
      <c r="E1" s="2"/>
      <c r="F1" s="2"/>
      <c r="G1" s="2"/>
      <c r="H1" s="2"/>
      <c r="I1" s="2"/>
      <c r="J1" s="2"/>
      <c r="K1" s="2"/>
      <c r="L1" s="2"/>
      <c r="M1" s="2"/>
      <c r="N1" s="2"/>
      <c r="O1" s="2"/>
      <c r="P1" s="2"/>
      <c r="Q1" s="2"/>
      <c r="R1" s="2"/>
      <c r="S1" s="2"/>
      <c r="T1" s="2"/>
      <c r="U1" s="2"/>
      <c r="V1" s="2"/>
    </row>
    <row r="2" ht="48" customHeight="1" spans="1:22">
      <c r="A2" s="6" t="s">
        <v>1</v>
      </c>
      <c r="B2" s="6"/>
      <c r="C2" s="6"/>
      <c r="D2" s="6"/>
      <c r="E2" s="6"/>
      <c r="F2" s="6"/>
      <c r="G2" s="6"/>
      <c r="H2" s="6"/>
      <c r="I2" s="6"/>
      <c r="J2" s="6"/>
      <c r="K2" s="6"/>
      <c r="L2" s="6"/>
      <c r="M2" s="6"/>
      <c r="N2" s="6"/>
      <c r="O2" s="6"/>
      <c r="P2" s="2"/>
      <c r="Q2" s="2"/>
      <c r="R2" s="2"/>
      <c r="S2" s="2"/>
      <c r="T2" s="2"/>
      <c r="U2" s="2"/>
      <c r="V2" s="2"/>
    </row>
    <row r="3" ht="39" customHeight="1" spans="1:22">
      <c r="A3" s="24" t="s">
        <v>2</v>
      </c>
      <c r="B3" s="6"/>
      <c r="C3" s="25"/>
      <c r="D3" s="25"/>
      <c r="E3" s="26"/>
      <c r="F3" s="6"/>
      <c r="G3" s="2"/>
      <c r="H3" s="2"/>
      <c r="I3" s="2"/>
      <c r="J3" s="6"/>
      <c r="K3" s="2"/>
      <c r="L3" s="2"/>
      <c r="M3" s="2"/>
      <c r="N3" s="2"/>
      <c r="O3" s="27" t="s">
        <v>3</v>
      </c>
      <c r="P3" s="2"/>
      <c r="Q3" s="2"/>
      <c r="R3" s="2"/>
      <c r="S3" s="2"/>
      <c r="T3" s="2"/>
      <c r="U3" s="2"/>
      <c r="V3" s="2"/>
    </row>
    <row r="4" ht="48" customHeight="1" spans="1:22">
      <c r="A4" s="28" t="s">
        <v>4</v>
      </c>
      <c r="B4" s="29" t="s">
        <v>5</v>
      </c>
      <c r="C4" s="29" t="s">
        <v>6</v>
      </c>
      <c r="D4" s="29" t="s">
        <v>7</v>
      </c>
      <c r="E4" s="28" t="s">
        <v>8</v>
      </c>
      <c r="F4" s="28" t="s">
        <v>9</v>
      </c>
      <c r="G4" s="30" t="s">
        <v>10</v>
      </c>
      <c r="H4" s="30"/>
      <c r="I4" s="30" t="s">
        <v>11</v>
      </c>
      <c r="J4" s="30"/>
      <c r="K4" s="30" t="s">
        <v>12</v>
      </c>
      <c r="L4" s="30"/>
      <c r="M4" s="30"/>
      <c r="N4" s="31"/>
      <c r="O4" s="30" t="s">
        <v>13</v>
      </c>
      <c r="P4" s="25" t="s">
        <v>14</v>
      </c>
      <c r="Q4" s="25"/>
      <c r="R4" s="25"/>
      <c r="S4" s="25"/>
      <c r="T4" s="25"/>
      <c r="U4" s="25"/>
      <c r="V4" s="25"/>
    </row>
    <row r="5" ht="78.95" customHeight="1" spans="1:22">
      <c r="A5" s="32"/>
      <c r="B5" s="33"/>
      <c r="C5" s="33"/>
      <c r="D5" s="33"/>
      <c r="E5" s="32"/>
      <c r="F5" s="32"/>
      <c r="G5" s="30" t="s">
        <v>15</v>
      </c>
      <c r="H5" s="30" t="s">
        <v>16</v>
      </c>
      <c r="I5" s="30" t="s">
        <v>15</v>
      </c>
      <c r="J5" s="30" t="s">
        <v>16</v>
      </c>
      <c r="K5" s="30" t="s">
        <v>17</v>
      </c>
      <c r="L5" s="30" t="s">
        <v>18</v>
      </c>
      <c r="M5" s="30" t="s">
        <v>19</v>
      </c>
      <c r="N5" s="31" t="s">
        <v>20</v>
      </c>
      <c r="O5" s="30"/>
      <c r="P5" s="25" t="s">
        <v>21</v>
      </c>
      <c r="Q5" s="25" t="s">
        <v>22</v>
      </c>
      <c r="R5" s="25" t="s">
        <v>23</v>
      </c>
      <c r="S5" s="25" t="s">
        <v>24</v>
      </c>
      <c r="T5" s="25" t="s">
        <v>25</v>
      </c>
      <c r="U5" s="25" t="s">
        <v>26</v>
      </c>
      <c r="V5" s="25" t="s">
        <v>27</v>
      </c>
    </row>
    <row r="6" ht="54.75" customHeight="1" spans="1:22">
      <c r="A6" s="34">
        <v>2</v>
      </c>
      <c r="B6" s="30" t="s">
        <v>28</v>
      </c>
      <c r="C6" s="30" t="s">
        <v>29</v>
      </c>
      <c r="D6" s="30" t="s">
        <v>30</v>
      </c>
      <c r="E6" s="30" t="s">
        <v>31</v>
      </c>
      <c r="F6" s="35">
        <v>1020</v>
      </c>
      <c r="G6" s="36">
        <v>2069803</v>
      </c>
      <c r="H6" s="36" t="s">
        <v>32</v>
      </c>
      <c r="I6" s="36">
        <v>50601</v>
      </c>
      <c r="J6" s="36" t="s">
        <v>33</v>
      </c>
      <c r="K6" s="37">
        <v>1020</v>
      </c>
      <c r="L6" s="37">
        <v>1020</v>
      </c>
      <c r="M6" s="37">
        <v>0</v>
      </c>
      <c r="N6" s="37">
        <v>0</v>
      </c>
      <c r="O6" s="20" t="str">
        <f>"新增配置单价100万元及以上设备"&amp;SUM(新增资产配置明细表!F9:F11)&amp;"台（套），总金额"&amp;TEXT(SUM(新增资产配置明细表!G9:G11),"0.00")&amp;"万元。"</f>
        <v>新增配置单价100万元及以上设备3台（套），总金额1397.25万元。</v>
      </c>
      <c r="P6" s="38" t="s">
        <v>34</v>
      </c>
      <c r="Q6" s="38">
        <v>0.51</v>
      </c>
      <c r="R6" s="38">
        <v>0.102</v>
      </c>
      <c r="S6" s="38">
        <v>0.408</v>
      </c>
      <c r="T6" s="38" t="s">
        <v>35</v>
      </c>
      <c r="U6" s="38" t="s">
        <v>36</v>
      </c>
      <c r="V6" s="38" t="s">
        <v>37</v>
      </c>
    </row>
    <row r="7" ht="54" customHeight="1" spans="1:22">
      <c r="A7" s="34">
        <v>4</v>
      </c>
      <c r="B7" s="30" t="s">
        <v>28</v>
      </c>
      <c r="C7" s="30" t="s">
        <v>29</v>
      </c>
      <c r="D7" s="30" t="s">
        <v>30</v>
      </c>
      <c r="E7" s="30" t="s">
        <v>38</v>
      </c>
      <c r="F7" s="35">
        <v>940</v>
      </c>
      <c r="G7" s="36">
        <v>2069803</v>
      </c>
      <c r="H7" s="36" t="s">
        <v>32</v>
      </c>
      <c r="I7" s="36">
        <v>50601</v>
      </c>
      <c r="J7" s="36" t="s">
        <v>33</v>
      </c>
      <c r="K7" s="37">
        <v>940</v>
      </c>
      <c r="L7" s="37">
        <v>940</v>
      </c>
      <c r="M7" s="37">
        <v>0</v>
      </c>
      <c r="N7" s="37">
        <v>0</v>
      </c>
      <c r="O7" s="20" t="s">
        <v>39</v>
      </c>
      <c r="P7" s="38" t="s">
        <v>40</v>
      </c>
      <c r="Q7" s="38">
        <v>0.47</v>
      </c>
      <c r="R7" s="38">
        <v>0.094</v>
      </c>
      <c r="S7" s="38">
        <v>0.376</v>
      </c>
      <c r="T7" s="38" t="s">
        <v>35</v>
      </c>
      <c r="U7" s="38" t="s">
        <v>41</v>
      </c>
      <c r="V7" s="38" t="s">
        <v>37</v>
      </c>
    </row>
    <row r="8" ht="81" customHeight="1" spans="1:22">
      <c r="A8" s="34">
        <v>5</v>
      </c>
      <c r="B8" s="30" t="s">
        <v>28</v>
      </c>
      <c r="C8" s="30" t="s">
        <v>29</v>
      </c>
      <c r="D8" s="30" t="s">
        <v>30</v>
      </c>
      <c r="E8" s="30" t="s">
        <v>42</v>
      </c>
      <c r="F8" s="35">
        <v>880</v>
      </c>
      <c r="G8" s="36">
        <v>2069803</v>
      </c>
      <c r="H8" s="36" t="s">
        <v>32</v>
      </c>
      <c r="I8" s="36">
        <v>50601</v>
      </c>
      <c r="J8" s="36" t="s">
        <v>33</v>
      </c>
      <c r="K8" s="37">
        <v>558</v>
      </c>
      <c r="L8" s="37">
        <v>558</v>
      </c>
      <c r="M8" s="37">
        <v>0</v>
      </c>
      <c r="N8" s="37">
        <v>0</v>
      </c>
      <c r="O8" s="20" t="s">
        <v>43</v>
      </c>
      <c r="P8" s="38" t="s">
        <v>44</v>
      </c>
      <c r="Q8" s="38">
        <v>0.44</v>
      </c>
      <c r="R8" s="38">
        <v>0.088</v>
      </c>
      <c r="S8" s="38">
        <v>0.352</v>
      </c>
      <c r="T8" s="38" t="s">
        <v>35</v>
      </c>
      <c r="U8" s="38" t="s">
        <v>45</v>
      </c>
      <c r="V8" s="38" t="s">
        <v>37</v>
      </c>
    </row>
    <row r="9" ht="16.5" customHeight="1" spans="1:22">
      <c r="A9" s="3"/>
      <c r="B9" s="2"/>
      <c r="C9" s="2"/>
      <c r="D9" s="2"/>
      <c r="E9" s="2"/>
      <c r="F9" s="2"/>
      <c r="G9" s="2"/>
      <c r="H9" s="2"/>
      <c r="I9" s="2"/>
      <c r="J9" s="2"/>
      <c r="K9" s="2"/>
      <c r="L9" s="2"/>
      <c r="M9" s="2"/>
      <c r="N9" s="2"/>
      <c r="O9" s="2"/>
      <c r="P9" s="2"/>
      <c r="Q9" s="2"/>
      <c r="R9" s="2"/>
      <c r="S9" s="2"/>
      <c r="T9" s="2"/>
      <c r="U9" s="2"/>
      <c r="V9" s="2"/>
    </row>
  </sheetData>
  <mergeCells count="12">
    <mergeCell ref="A2:O2"/>
    <mergeCell ref="G4:H4"/>
    <mergeCell ref="I4:J4"/>
    <mergeCell ref="K4:N4"/>
    <mergeCell ref="P4:V4"/>
    <mergeCell ref="A4:A5"/>
    <mergeCell ref="B4:B5"/>
    <mergeCell ref="C4:C5"/>
    <mergeCell ref="D4:D5"/>
    <mergeCell ref="E4:E5"/>
    <mergeCell ref="F4:F5"/>
    <mergeCell ref="O4:O5"/>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1"/>
  <sheetViews>
    <sheetView showGridLines="0" workbookViewId="0">
      <selection activeCell="A1" sqref="A1"/>
    </sheetView>
  </sheetViews>
  <sheetFormatPr defaultColWidth="9" defaultRowHeight="16.8"/>
  <cols>
    <col min="1" max="1" width="6" customWidth="1"/>
    <col min="2" max="2" width="21.875" customWidth="1"/>
    <col min="3" max="3" width="8.25" customWidth="1"/>
    <col min="4" max="4" width="15.5" customWidth="1"/>
    <col min="5" max="5" width="10.625" customWidth="1"/>
    <col min="6" max="6" width="9" customWidth="1"/>
    <col min="7" max="7" width="17.75" customWidth="1"/>
    <col min="8" max="8" width="10.75" customWidth="1"/>
    <col min="9" max="9" width="24.5" customWidth="1"/>
    <col min="10" max="10" width="26" customWidth="1"/>
    <col min="11" max="11" width="14.625" customWidth="1"/>
    <col min="12" max="12" width="17.5" customWidth="1"/>
    <col min="13" max="13" width="45.5" customWidth="1"/>
    <col min="14" max="14" width="15.75" customWidth="1"/>
    <col min="15" max="15" width="54.625" customWidth="1"/>
    <col min="16" max="16" width="22.125" customWidth="1"/>
  </cols>
  <sheetData>
    <row r="1" ht="20.25" customHeight="1" spans="1:16">
      <c r="A1" s="1" t="s">
        <v>46</v>
      </c>
      <c r="B1" s="2"/>
      <c r="C1" s="2"/>
      <c r="D1" s="2"/>
      <c r="E1" s="2"/>
      <c r="F1" s="2"/>
      <c r="G1" s="2"/>
      <c r="H1" s="2"/>
      <c r="I1" s="2"/>
      <c r="J1" s="2"/>
      <c r="K1" s="2"/>
      <c r="L1" s="2"/>
      <c r="M1" s="2"/>
      <c r="N1" s="3"/>
      <c r="O1" s="4"/>
      <c r="P1" s="5"/>
    </row>
    <row r="2" ht="51" customHeight="1" spans="1:16">
      <c r="A2" s="6" t="s">
        <v>47</v>
      </c>
      <c r="B2" s="6"/>
      <c r="C2" s="6"/>
      <c r="D2" s="6"/>
      <c r="E2" s="6"/>
      <c r="F2" s="6"/>
      <c r="G2" s="6"/>
      <c r="H2" s="6"/>
      <c r="I2" s="6"/>
      <c r="J2" s="6"/>
      <c r="K2" s="6"/>
      <c r="L2" s="6"/>
      <c r="M2" s="6"/>
      <c r="N2" s="6"/>
      <c r="O2" s="6"/>
      <c r="P2" s="6"/>
    </row>
    <row r="3" ht="183" customHeight="1" spans="1:16">
      <c r="A3" s="7" t="s">
        <v>48</v>
      </c>
      <c r="B3" s="7"/>
      <c r="C3" s="7"/>
      <c r="D3" s="7"/>
      <c r="E3" s="7"/>
      <c r="F3" s="7"/>
      <c r="G3" s="7"/>
      <c r="H3" s="7"/>
      <c r="I3" s="7"/>
      <c r="J3" s="7"/>
      <c r="K3" s="7"/>
      <c r="L3" s="7"/>
      <c r="M3" s="7"/>
      <c r="N3" s="7"/>
      <c r="O3" s="7"/>
      <c r="P3" s="7"/>
    </row>
    <row r="4" ht="117" customHeight="1" spans="1:16">
      <c r="A4" s="8" t="s">
        <v>4</v>
      </c>
      <c r="B4" s="8" t="s">
        <v>49</v>
      </c>
      <c r="C4" s="8" t="s">
        <v>50</v>
      </c>
      <c r="D4" s="8" t="s">
        <v>51</v>
      </c>
      <c r="E4" s="9" t="s">
        <v>52</v>
      </c>
      <c r="F4" s="9" t="s">
        <v>53</v>
      </c>
      <c r="G4" s="9" t="s">
        <v>54</v>
      </c>
      <c r="H4" s="9" t="s">
        <v>55</v>
      </c>
      <c r="I4" s="9" t="s">
        <v>56</v>
      </c>
      <c r="J4" s="9" t="s">
        <v>57</v>
      </c>
      <c r="K4" s="9" t="s">
        <v>58</v>
      </c>
      <c r="L4" s="9" t="s">
        <v>59</v>
      </c>
      <c r="M4" s="9" t="s">
        <v>60</v>
      </c>
      <c r="N4" s="10" t="s">
        <v>61</v>
      </c>
      <c r="O4" s="10" t="s">
        <v>62</v>
      </c>
      <c r="P4" s="10" t="s">
        <v>63</v>
      </c>
    </row>
    <row r="5" ht="69" customHeight="1" spans="1:16">
      <c r="A5" s="11">
        <v>1</v>
      </c>
      <c r="B5" s="12" t="s">
        <v>30</v>
      </c>
      <c r="C5" s="13">
        <v>124202</v>
      </c>
      <c r="D5" s="14" t="s">
        <v>64</v>
      </c>
      <c r="E5" s="14">
        <v>150</v>
      </c>
      <c r="F5" s="14">
        <v>1</v>
      </c>
      <c r="G5" s="14">
        <v>150</v>
      </c>
      <c r="H5" s="14">
        <v>150</v>
      </c>
      <c r="I5" s="12" t="s">
        <v>42</v>
      </c>
      <c r="J5" s="15" t="s">
        <v>65</v>
      </c>
      <c r="K5" s="12" t="s">
        <v>66</v>
      </c>
      <c r="L5" s="12" t="s">
        <v>67</v>
      </c>
      <c r="M5" s="12" t="s">
        <v>68</v>
      </c>
      <c r="N5" s="16">
        <v>0</v>
      </c>
      <c r="O5" s="17" t="s">
        <v>69</v>
      </c>
      <c r="P5" s="12" t="s">
        <v>70</v>
      </c>
    </row>
    <row r="6" ht="69" customHeight="1" spans="1:16">
      <c r="A6" s="11">
        <v>2</v>
      </c>
      <c r="B6" s="18" t="s">
        <v>30</v>
      </c>
      <c r="C6" s="19" t="s">
        <v>71</v>
      </c>
      <c r="D6" s="11" t="s">
        <v>72</v>
      </c>
      <c r="E6" s="11">
        <v>408</v>
      </c>
      <c r="F6" s="11">
        <v>1</v>
      </c>
      <c r="G6" s="11">
        <v>408</v>
      </c>
      <c r="H6" s="11">
        <v>408</v>
      </c>
      <c r="I6" s="18" t="s">
        <v>42</v>
      </c>
      <c r="J6" s="15" t="s">
        <v>65</v>
      </c>
      <c r="K6" s="18" t="s">
        <v>66</v>
      </c>
      <c r="L6" s="18" t="s">
        <v>67</v>
      </c>
      <c r="M6" s="20" t="s">
        <v>73</v>
      </c>
      <c r="N6" s="16">
        <v>0</v>
      </c>
      <c r="O6" s="20" t="s">
        <v>74</v>
      </c>
      <c r="P6" s="18" t="s">
        <v>70</v>
      </c>
    </row>
    <row r="7" ht="71.25" customHeight="1" spans="1:16">
      <c r="A7" s="11">
        <v>3</v>
      </c>
      <c r="B7" s="18" t="s">
        <v>30</v>
      </c>
      <c r="C7" s="19" t="s">
        <v>71</v>
      </c>
      <c r="D7" s="18" t="s">
        <v>75</v>
      </c>
      <c r="E7" s="11">
        <v>496.94</v>
      </c>
      <c r="F7" s="11">
        <v>1</v>
      </c>
      <c r="G7" s="11">
        <v>496.94</v>
      </c>
      <c r="H7" s="11">
        <v>496.94</v>
      </c>
      <c r="I7" s="18" t="s">
        <v>38</v>
      </c>
      <c r="J7" s="15" t="s">
        <v>76</v>
      </c>
      <c r="K7" s="18" t="s">
        <v>66</v>
      </c>
      <c r="L7" s="18" t="s">
        <v>67</v>
      </c>
      <c r="M7" s="18" t="s">
        <v>77</v>
      </c>
      <c r="N7" s="21">
        <v>0</v>
      </c>
      <c r="O7" s="20" t="s">
        <v>78</v>
      </c>
      <c r="P7" s="18" t="s">
        <v>70</v>
      </c>
    </row>
    <row r="8" ht="71.25" customHeight="1" spans="1:16">
      <c r="A8" s="11">
        <v>4</v>
      </c>
      <c r="B8" s="18" t="s">
        <v>30</v>
      </c>
      <c r="C8" s="19" t="s">
        <v>71</v>
      </c>
      <c r="D8" s="18" t="s">
        <v>79</v>
      </c>
      <c r="E8" s="11">
        <v>443.06</v>
      </c>
      <c r="F8" s="11">
        <v>1</v>
      </c>
      <c r="G8" s="11">
        <v>443.06</v>
      </c>
      <c r="H8" s="11">
        <v>443.06</v>
      </c>
      <c r="I8" s="18" t="s">
        <v>38</v>
      </c>
      <c r="J8" s="15" t="s">
        <v>76</v>
      </c>
      <c r="K8" s="18" t="s">
        <v>66</v>
      </c>
      <c r="L8" s="18" t="s">
        <v>67</v>
      </c>
      <c r="M8" s="18" t="s">
        <v>80</v>
      </c>
      <c r="N8" s="21">
        <v>0</v>
      </c>
      <c r="O8" s="20" t="s">
        <v>81</v>
      </c>
      <c r="P8" s="18" t="s">
        <v>70</v>
      </c>
    </row>
    <row r="9" ht="76" customHeight="1" spans="1:16">
      <c r="A9" s="11">
        <v>5</v>
      </c>
      <c r="B9" s="11" t="s">
        <v>30</v>
      </c>
      <c r="C9" s="19" t="s">
        <v>82</v>
      </c>
      <c r="D9" s="11" t="s">
        <v>83</v>
      </c>
      <c r="E9" s="22">
        <v>327.25</v>
      </c>
      <c r="F9" s="22">
        <v>1</v>
      </c>
      <c r="G9" s="22">
        <f>E9*F9</f>
        <v>327.25</v>
      </c>
      <c r="H9" s="22">
        <f>G9</f>
        <v>327.25</v>
      </c>
      <c r="I9" s="23" t="s">
        <v>31</v>
      </c>
      <c r="J9" s="19" t="s">
        <v>84</v>
      </c>
      <c r="K9" s="23" t="s">
        <v>66</v>
      </c>
      <c r="L9" s="23" t="s">
        <v>67</v>
      </c>
      <c r="M9" s="23" t="s">
        <v>85</v>
      </c>
      <c r="N9" s="11">
        <v>0</v>
      </c>
      <c r="O9" s="23" t="s">
        <v>86</v>
      </c>
      <c r="P9" s="23" t="s">
        <v>70</v>
      </c>
    </row>
    <row r="10" ht="76" customHeight="1" spans="1:16">
      <c r="A10" s="11">
        <v>6</v>
      </c>
      <c r="B10" s="11" t="s">
        <v>30</v>
      </c>
      <c r="C10" s="19" t="s">
        <v>82</v>
      </c>
      <c r="D10" s="11" t="s">
        <v>87</v>
      </c>
      <c r="E10" s="22">
        <v>780</v>
      </c>
      <c r="F10" s="22">
        <v>1</v>
      </c>
      <c r="G10" s="22">
        <f>E10*F10</f>
        <v>780</v>
      </c>
      <c r="H10" s="22">
        <f>G10</f>
        <v>780</v>
      </c>
      <c r="I10" s="23" t="s">
        <v>31</v>
      </c>
      <c r="J10" s="19" t="s">
        <v>84</v>
      </c>
      <c r="K10" s="23" t="s">
        <v>66</v>
      </c>
      <c r="L10" s="23" t="s">
        <v>67</v>
      </c>
      <c r="M10" s="23" t="s">
        <v>88</v>
      </c>
      <c r="N10" s="11">
        <v>0</v>
      </c>
      <c r="O10" s="23" t="s">
        <v>89</v>
      </c>
      <c r="P10" s="23" t="s">
        <v>70</v>
      </c>
    </row>
    <row r="11" ht="76" customHeight="1" spans="1:16">
      <c r="A11" s="11">
        <v>7</v>
      </c>
      <c r="B11" s="11" t="s">
        <v>30</v>
      </c>
      <c r="C11" s="19" t="s">
        <v>82</v>
      </c>
      <c r="D11" s="11" t="s">
        <v>90</v>
      </c>
      <c r="E11" s="22">
        <v>290</v>
      </c>
      <c r="F11" s="22">
        <v>1</v>
      </c>
      <c r="G11" s="22">
        <f>E11*F11</f>
        <v>290</v>
      </c>
      <c r="H11" s="22">
        <f>G11</f>
        <v>290</v>
      </c>
      <c r="I11" s="23" t="s">
        <v>31</v>
      </c>
      <c r="J11" s="19" t="s">
        <v>84</v>
      </c>
      <c r="K11" s="23" t="s">
        <v>66</v>
      </c>
      <c r="L11" s="23" t="s">
        <v>67</v>
      </c>
      <c r="M11" s="23" t="s">
        <v>91</v>
      </c>
      <c r="N11" s="11">
        <v>0</v>
      </c>
      <c r="O11" s="23" t="s">
        <v>92</v>
      </c>
      <c r="P11" s="23" t="s">
        <v>70</v>
      </c>
    </row>
  </sheetData>
  <mergeCells count="2">
    <mergeCell ref="A2:P2"/>
    <mergeCell ref="A3:P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总表</vt:lpstr>
      <vt:lpstr>新增资产配置明细表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Jessie</cp:lastModifiedBy>
  <dcterms:created xsi:type="dcterms:W3CDTF">2026-08-28T18:57:52Z</dcterms:created>
  <dcterms:modified xsi:type="dcterms:W3CDTF">2026-08-28T19:45:46Z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2B918195E43A3780EA74916A7A92522B_42</vt:lpwstr>
  </property>
  <property fmtid="{D5CDD505-2E9C-101B-9397-08002B2CF9AE}" pid="3" name="KSOProductBuildVer">
    <vt:lpwstr>2052-12.1.26046.26046</vt:lpwstr>
  </property>
  <property fmtid="{D5CDD505-2E9C-101B-9397-08002B2CF9AE}" pid="4" name="CalculationRule">
    <vt:i4>0</vt:i4>
  </property>
</Properties>
</file>